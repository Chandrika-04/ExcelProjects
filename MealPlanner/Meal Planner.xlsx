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c9cd334ea6e5f2/Desktop/upgrad/Excel/"/>
    </mc:Choice>
  </mc:AlternateContent>
  <xr:revisionPtr revIDLastSave="1874" documentId="8_{11339599-D431-43A7-8783-E9C015D7273D}" xr6:coauthVersionLast="47" xr6:coauthVersionMax="47" xr10:uidLastSave="{0ADEFA9E-5DA5-4F1D-A40A-73C5A1B2D9F3}"/>
  <bookViews>
    <workbookView xWindow="-110" yWindow="-110" windowWidth="19420" windowHeight="10300" xr2:uid="{A19EB5BC-304E-43F6-9CD2-B60AD9191E92}"/>
  </bookViews>
  <sheets>
    <sheet name="RecipeDB" sheetId="1" r:id="rId1"/>
    <sheet name="MealPlan" sheetId="2" r:id="rId2"/>
    <sheet name="GroceryList" sheetId="3" r:id="rId3"/>
    <sheet name="Dashboard" sheetId="4" r:id="rId4"/>
  </sheets>
  <definedNames>
    <definedName name="_xlnm._FilterDatabase" localSheetId="2" hidden="1">GroceryList!$A$1:$G$36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4" l="1"/>
  <c r="A36" i="3"/>
  <c r="F3" i="3"/>
  <c r="F4" i="3"/>
  <c r="F5" i="3"/>
  <c r="F6" i="3"/>
  <c r="F7" i="3"/>
  <c r="F8" i="3"/>
  <c r="F9" i="3"/>
  <c r="F10" i="3"/>
  <c r="F11" i="3"/>
  <c r="F12" i="3"/>
  <c r="B9" i="4" s="1"/>
  <c r="F13" i="3"/>
  <c r="F14" i="3"/>
  <c r="B10" i="4" s="1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B13" i="4" s="1"/>
  <c r="F35" i="3"/>
  <c r="F2" i="3"/>
  <c r="B8" i="4" s="1"/>
  <c r="B28" i="4"/>
  <c r="B29" i="4" s="1"/>
  <c r="H30" i="4"/>
  <c r="G30" i="4"/>
  <c r="G31" i="4" s="1"/>
  <c r="F30" i="4"/>
  <c r="E30" i="4"/>
  <c r="D30" i="4"/>
  <c r="D31" i="4" s="1"/>
  <c r="C30" i="4"/>
  <c r="H28" i="4"/>
  <c r="H29" i="4" s="1"/>
  <c r="G28" i="4"/>
  <c r="F28" i="4"/>
  <c r="E28" i="4"/>
  <c r="D28" i="4"/>
  <c r="D29" i="4" s="1"/>
  <c r="C28" i="4"/>
  <c r="C29" i="4"/>
  <c r="B30" i="4"/>
  <c r="B31" i="4" s="1"/>
  <c r="B26" i="4"/>
  <c r="H27" i="4"/>
  <c r="H26" i="4"/>
  <c r="G26" i="4"/>
  <c r="F26" i="4"/>
  <c r="F27" i="4" s="1"/>
  <c r="E26" i="4"/>
  <c r="D26" i="4"/>
  <c r="D27" i="4" s="1"/>
  <c r="C26" i="4"/>
  <c r="C27" i="4" s="1"/>
  <c r="B27" i="4"/>
  <c r="H31" i="4"/>
  <c r="F31" i="4"/>
  <c r="E31" i="4"/>
  <c r="C31" i="4"/>
  <c r="G29" i="4"/>
  <c r="F29" i="4"/>
  <c r="E29" i="4"/>
  <c r="G27" i="4"/>
  <c r="E27" i="4"/>
  <c r="B11" i="4"/>
  <c r="B12" i="4"/>
  <c r="C4" i="4" a="1"/>
  <c r="C4" i="4" s="1"/>
  <c r="E4" i="4"/>
  <c r="B3" i="2"/>
  <c r="C3" i="2"/>
  <c r="C7" i="2"/>
  <c r="D7" i="2"/>
  <c r="E7" i="2"/>
  <c r="F7" i="2"/>
  <c r="G7" i="2"/>
  <c r="H7" i="2"/>
  <c r="C5" i="2"/>
  <c r="D5" i="2"/>
  <c r="E5" i="2"/>
  <c r="F5" i="2"/>
  <c r="G5" i="2"/>
  <c r="H5" i="2"/>
  <c r="B7" i="2"/>
  <c r="B5" i="2"/>
  <c r="D3" i="2"/>
  <c r="E3" i="2"/>
  <c r="F3" i="2"/>
  <c r="G3" i="2"/>
  <c r="H3" i="2"/>
  <c r="I2" i="3" a="1"/>
  <c r="I2" i="3" s="1"/>
  <c r="E22" i="3"/>
  <c r="E2" i="3"/>
  <c r="E3" i="3"/>
  <c r="E23" i="3"/>
  <c r="E24" i="3"/>
  <c r="E4" i="3"/>
  <c r="E14" i="3"/>
  <c r="E5" i="3"/>
  <c r="E6" i="3"/>
  <c r="E25" i="3"/>
  <c r="E26" i="3"/>
  <c r="E7" i="3"/>
  <c r="E27" i="3"/>
  <c r="E15" i="3"/>
  <c r="E8" i="3"/>
  <c r="E9" i="3"/>
  <c r="E10" i="3"/>
  <c r="E16" i="3"/>
  <c r="E17" i="3"/>
  <c r="E28" i="3"/>
  <c r="E34" i="3"/>
  <c r="E35" i="3"/>
  <c r="E18" i="3"/>
  <c r="E11" i="3"/>
  <c r="E12" i="3"/>
  <c r="E19" i="3"/>
  <c r="E20" i="3"/>
  <c r="E29" i="3"/>
  <c r="E30" i="3"/>
  <c r="E31" i="3"/>
  <c r="E32" i="3"/>
  <c r="E33" i="3"/>
  <c r="E13" i="3"/>
  <c r="D22" i="3"/>
  <c r="D2" i="3"/>
  <c r="D3" i="3"/>
  <c r="D23" i="3"/>
  <c r="D24" i="3"/>
  <c r="D4" i="3"/>
  <c r="D14" i="3"/>
  <c r="D5" i="3"/>
  <c r="D6" i="3"/>
  <c r="D25" i="3"/>
  <c r="D26" i="3"/>
  <c r="D7" i="3"/>
  <c r="D27" i="3"/>
  <c r="D15" i="3"/>
  <c r="D8" i="3"/>
  <c r="D9" i="3"/>
  <c r="D10" i="3"/>
  <c r="D16" i="3"/>
  <c r="D17" i="3"/>
  <c r="D28" i="3"/>
  <c r="D34" i="3"/>
  <c r="D35" i="3"/>
  <c r="D18" i="3"/>
  <c r="D11" i="3"/>
  <c r="D12" i="3"/>
  <c r="D19" i="3"/>
  <c r="D20" i="3"/>
  <c r="D29" i="3"/>
  <c r="D30" i="3"/>
  <c r="D31" i="3"/>
  <c r="D32" i="3"/>
  <c r="D33" i="3"/>
  <c r="D13" i="3"/>
  <c r="C22" i="3"/>
  <c r="C2" i="3"/>
  <c r="C3" i="3"/>
  <c r="C23" i="3"/>
  <c r="C24" i="3"/>
  <c r="C4" i="3"/>
  <c r="C14" i="3"/>
  <c r="C5" i="3"/>
  <c r="C6" i="3"/>
  <c r="C25" i="3"/>
  <c r="C26" i="3"/>
  <c r="C7" i="3"/>
  <c r="C27" i="3"/>
  <c r="C15" i="3"/>
  <c r="C8" i="3"/>
  <c r="C9" i="3"/>
  <c r="C10" i="3"/>
  <c r="C16" i="3"/>
  <c r="C17" i="3"/>
  <c r="C28" i="3"/>
  <c r="C34" i="3"/>
  <c r="C35" i="3"/>
  <c r="C18" i="3"/>
  <c r="C11" i="3"/>
  <c r="C12" i="3"/>
  <c r="C19" i="3"/>
  <c r="C20" i="3"/>
  <c r="C29" i="3"/>
  <c r="C30" i="3"/>
  <c r="C31" i="3"/>
  <c r="C32" i="3"/>
  <c r="C33" i="3"/>
  <c r="C13" i="3"/>
  <c r="D21" i="3"/>
  <c r="E21" i="3"/>
  <c r="C21" i="3"/>
  <c r="A4" i="4" l="1"/>
  <c r="G4" i="4"/>
  <c r="F3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<sst xmlns="http://schemas.openxmlformats.org/spreadsheetml/2006/main" count="319" uniqueCount="124">
  <si>
    <t>RECIEPE DB</t>
  </si>
  <si>
    <t>Recipe</t>
  </si>
  <si>
    <t>Ingredient</t>
  </si>
  <si>
    <t>Unit</t>
  </si>
  <si>
    <t>Category</t>
  </si>
  <si>
    <t>Cost(₹)</t>
  </si>
  <si>
    <t>Cal</t>
  </si>
  <si>
    <t>Notes</t>
  </si>
  <si>
    <t>Pasta Arrabbiata</t>
  </si>
  <si>
    <t>Spaghetti</t>
  </si>
  <si>
    <t>g</t>
  </si>
  <si>
    <t>Pantry</t>
  </si>
  <si>
    <t>dry</t>
  </si>
  <si>
    <t>Tinned Tomatoes</t>
  </si>
  <si>
    <t>crushed</t>
  </si>
  <si>
    <t>Garlic</t>
  </si>
  <si>
    <t>cloves</t>
  </si>
  <si>
    <t>Vegetables</t>
  </si>
  <si>
    <t>minced</t>
  </si>
  <si>
    <t>Red Chilli</t>
  </si>
  <si>
    <t>pcs</t>
  </si>
  <si>
    <t>sliced</t>
  </si>
  <si>
    <t>Olive Oil</t>
  </si>
  <si>
    <t>tbsp</t>
  </si>
  <si>
    <t>extra virgin</t>
  </si>
  <si>
    <t>Salt</t>
  </si>
  <si>
    <t>tsp</t>
  </si>
  <si>
    <t>to taste</t>
  </si>
  <si>
    <t>Fresh Basil</t>
  </si>
  <si>
    <t>torn</t>
  </si>
  <si>
    <t>Chicken Stir Fry</t>
  </si>
  <si>
    <t>Chicken Breast</t>
  </si>
  <si>
    <t>Protein</t>
  </si>
  <si>
    <t>Bell Pepper</t>
  </si>
  <si>
    <t>Broccoli</t>
  </si>
  <si>
    <t>Soy Sauce</t>
  </si>
  <si>
    <t>Sesame Oil</t>
  </si>
  <si>
    <t>sliced thin</t>
  </si>
  <si>
    <t>mixed colours</t>
  </si>
  <si>
    <t>florets</t>
  </si>
  <si>
    <t>low sodium</t>
  </si>
  <si>
    <t>finish only</t>
  </si>
  <si>
    <t>Ginger</t>
  </si>
  <si>
    <t>fresh grated</t>
  </si>
  <si>
    <t>Rice</t>
  </si>
  <si>
    <t>jasmine</t>
  </si>
  <si>
    <t>Veggie Omelette</t>
  </si>
  <si>
    <t>Eggs</t>
  </si>
  <si>
    <t>Dairy &amp; Eggs</t>
  </si>
  <si>
    <t>free range</t>
  </si>
  <si>
    <t>Onion</t>
  </si>
  <si>
    <t>finely diced</t>
  </si>
  <si>
    <t>Tomato</t>
  </si>
  <si>
    <t>deseeded</t>
  </si>
  <si>
    <t>Spinach</t>
  </si>
  <si>
    <t>baby leaves</t>
  </si>
  <si>
    <t>Cheddar Cheese</t>
  </si>
  <si>
    <t>grated</t>
  </si>
  <si>
    <t>Butter</t>
  </si>
  <si>
    <t>unsalted</t>
  </si>
  <si>
    <t>Dal Tadka</t>
  </si>
  <si>
    <t>Red Lentils</t>
  </si>
  <si>
    <t>rinsed</t>
  </si>
  <si>
    <t>chopped</t>
  </si>
  <si>
    <t>Cumin Seeds</t>
  </si>
  <si>
    <t>Spices</t>
  </si>
  <si>
    <t>whole</t>
  </si>
  <si>
    <t>Turmeric</t>
  </si>
  <si>
    <t>ground</t>
  </si>
  <si>
    <t>Ghee</t>
  </si>
  <si>
    <t>for tadka</t>
  </si>
  <si>
    <t>Fresh Coriander</t>
  </si>
  <si>
    <t>garnish</t>
  </si>
  <si>
    <t>Banana Smoothie</t>
  </si>
  <si>
    <t>Banana</t>
  </si>
  <si>
    <t>Fruit</t>
  </si>
  <si>
    <t>ripe</t>
  </si>
  <si>
    <t>Milk</t>
  </si>
  <si>
    <t>ml</t>
  </si>
  <si>
    <t>full fat</t>
  </si>
  <si>
    <t>Greek Yogurt</t>
  </si>
  <si>
    <t>plain</t>
  </si>
  <si>
    <t>Honey</t>
  </si>
  <si>
    <t>raw</t>
  </si>
  <si>
    <t>Vanilla Extract</t>
  </si>
  <si>
    <t>pure</t>
  </si>
  <si>
    <t>Overnight Oats</t>
  </si>
  <si>
    <t>Rolled Oats</t>
  </si>
  <si>
    <t>old fashioned</t>
  </si>
  <si>
    <t>semi-skimmed</t>
  </si>
  <si>
    <t>Chia Seeds</t>
  </si>
  <si>
    <t>black or white</t>
  </si>
  <si>
    <t>sliced topping</t>
  </si>
  <si>
    <t>Peanut Butter</t>
  </si>
  <si>
    <t>natural</t>
  </si>
  <si>
    <t>Mixed Berries</t>
  </si>
  <si>
    <t>frozen ok</t>
  </si>
  <si>
    <t>Monday</t>
  </si>
  <si>
    <t>Tuesday</t>
  </si>
  <si>
    <t>Wednesday</t>
  </si>
  <si>
    <t>Thursday</t>
  </si>
  <si>
    <t>Friday</t>
  </si>
  <si>
    <t>Saturday</t>
  </si>
  <si>
    <t>Sunday</t>
  </si>
  <si>
    <t>Dinner</t>
  </si>
  <si>
    <t>Lunch Cost</t>
  </si>
  <si>
    <t>Dinner Cost</t>
  </si>
  <si>
    <t>Breakfast Cost</t>
  </si>
  <si>
    <t>Bought</t>
  </si>
  <si>
    <t>Total Qty Needed</t>
  </si>
  <si>
    <t>Est.cost</t>
  </si>
  <si>
    <t>Remaining Items</t>
  </si>
  <si>
    <t>v</t>
  </si>
  <si>
    <t>Breakfast Meal</t>
  </si>
  <si>
    <t>Lunch Meal</t>
  </si>
  <si>
    <t>Quantity</t>
  </si>
  <si>
    <t>Total Spend</t>
  </si>
  <si>
    <t>🥗  Weekly Meal Planner — Dashboard</t>
  </si>
  <si>
    <t xml:space="preserve">  Total Weekly Cost 🛒</t>
  </si>
  <si>
    <t>Total Weekly Calories🔢</t>
  </si>
  <si>
    <t>Items Still to Buy🔥</t>
  </si>
  <si>
    <t>Avg Daily Food Cost📅</t>
  </si>
  <si>
    <t>MealPlan!A1</t>
  </si>
  <si>
    <t>Grocerry List Completion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</si>
</sst>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b/>
      <sz val="10"/>
      <color rgb="FF111111"/>
      <name val="Courier New"/>
      <family val="3"/>
    </font>
    <font>
      <b/>
      <sz val="10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D4622A"/>
        <bgColor indexed="64"/>
      </patternFill>
    </fill>
    <fill>
      <patternFill patternType="solid">
        <fgColor rgb="FFF3F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FFF3B0"/>
        <bgColor indexed="64"/>
      </patternFill>
    </fill>
    <fill>
      <patternFill patternType="solid">
        <fgColor rgb="FFDFF5E1"/>
        <bgColor indexed="64"/>
      </patternFill>
    </fill>
  </fills>
  <borders count="33">
    <border>
      <left/>
      <right/>
      <top/>
      <bottom/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  <border>
      <left/>
      <right style="medium">
        <color rgb="FF777777"/>
      </right>
      <top style="medium">
        <color rgb="FF777777"/>
      </top>
      <bottom style="medium">
        <color rgb="FF777777"/>
      </bottom>
      <diagonal/>
    </border>
    <border>
      <left style="medium">
        <color rgb="FFC8C8C8"/>
      </left>
      <right style="medium">
        <color rgb="FFC8C8C8"/>
      </right>
      <top/>
      <bottom style="medium">
        <color rgb="FFC8C8C8"/>
      </bottom>
      <diagonal/>
    </border>
    <border>
      <left/>
      <right style="medium">
        <color rgb="FFC8C8C8"/>
      </right>
      <top/>
      <bottom style="medium">
        <color rgb="FFC8C8C8"/>
      </bottom>
      <diagonal/>
    </border>
    <border>
      <left style="medium">
        <color rgb="FFC8C8C8"/>
      </left>
      <right style="medium">
        <color rgb="FFC8C8C8"/>
      </right>
      <top style="medium">
        <color rgb="FFC8C8C8"/>
      </top>
      <bottom style="medium">
        <color rgb="FFC8C8C8"/>
      </bottom>
      <diagonal/>
    </border>
    <border>
      <left/>
      <right style="medium">
        <color rgb="FFC8C8C8"/>
      </right>
      <top style="medium">
        <color rgb="FFC8C8C8"/>
      </top>
      <bottom style="medium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249977111117893"/>
      </left>
      <right/>
      <top/>
      <bottom/>
      <diagonal/>
    </border>
    <border>
      <left style="medium">
        <color theme="9" tint="-0.249977111117893"/>
      </left>
      <right/>
      <top style="medium">
        <color theme="9" tint="-0.249977111117893"/>
      </top>
      <bottom/>
      <diagonal/>
    </border>
    <border>
      <left style="medium">
        <color theme="9" tint="-0.249977111117893"/>
      </left>
      <right/>
      <top/>
      <bottom/>
      <diagonal/>
    </border>
    <border>
      <left style="medium">
        <color theme="9" tint="-0.249977111117893"/>
      </left>
      <right/>
      <top/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/>
      <right/>
      <top/>
      <bottom style="medium">
        <color theme="9" tint="-0.249977111117893"/>
      </bottom>
      <diagonal/>
    </border>
    <border>
      <left/>
      <right/>
      <top style="medium">
        <color theme="5" tint="-0.499984740745262"/>
      </top>
      <bottom/>
      <diagonal/>
    </border>
    <border>
      <left/>
      <right/>
      <top/>
      <bottom style="medium">
        <color theme="5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/>
      <diagonal/>
    </border>
    <border>
      <left style="medium">
        <color theme="8" tint="-0.499984740745262"/>
      </left>
      <right style="medium">
        <color theme="8" tint="-0.499984740745262"/>
      </right>
      <top/>
      <bottom style="medium">
        <color theme="8" tint="-0.499984740745262"/>
      </bottom>
      <diagonal/>
    </border>
    <border>
      <left style="medium">
        <color theme="7" tint="-0.249977111117893"/>
      </left>
      <right/>
      <top style="medium">
        <color theme="7" tint="-0.249977111117893"/>
      </top>
      <bottom/>
      <diagonal/>
    </border>
    <border>
      <left/>
      <right style="medium">
        <color theme="7" tint="-0.249977111117893"/>
      </right>
      <top style="medium">
        <color theme="7" tint="-0.249977111117893"/>
      </top>
      <bottom/>
      <diagonal/>
    </border>
    <border>
      <left style="medium">
        <color theme="7" tint="-0.249977111117893"/>
      </left>
      <right/>
      <top/>
      <bottom/>
      <diagonal/>
    </border>
    <border>
      <left/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right" vertical="center" wrapText="1"/>
    </xf>
    <xf numFmtId="0" fontId="4" fillId="4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vertical="center" wrapText="1"/>
    </xf>
    <xf numFmtId="0" fontId="1" fillId="7" borderId="0" xfId="0" applyFont="1" applyFill="1"/>
    <xf numFmtId="0" fontId="0" fillId="0" borderId="7" xfId="0" applyBorder="1"/>
    <xf numFmtId="0" fontId="0" fillId="6" borderId="7" xfId="0" applyFill="1" applyBorder="1"/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/>
    <xf numFmtId="0" fontId="1" fillId="9" borderId="7" xfId="0" applyFont="1" applyFill="1" applyBorder="1"/>
    <xf numFmtId="0" fontId="4" fillId="0" borderId="0" xfId="0" applyFont="1"/>
    <xf numFmtId="0" fontId="4" fillId="8" borderId="3" xfId="0" applyFont="1" applyFill="1" applyBorder="1" applyAlignment="1">
      <alignment vertical="center" wrapText="1"/>
    </xf>
    <xf numFmtId="0" fontId="5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horizontal="right" vertical="center" wrapText="1"/>
    </xf>
    <xf numFmtId="0" fontId="4" fillId="8" borderId="6" xfId="0" applyFont="1" applyFill="1" applyBorder="1" applyAlignment="1">
      <alignment vertical="center" wrapText="1"/>
    </xf>
    <xf numFmtId="0" fontId="4" fillId="8" borderId="5" xfId="0" applyFont="1" applyFill="1" applyBorder="1" applyAlignment="1">
      <alignment horizontal="right" vertical="center" wrapText="1"/>
    </xf>
    <xf numFmtId="0" fontId="4" fillId="9" borderId="3" xfId="0" applyFont="1" applyFill="1" applyBorder="1" applyAlignment="1">
      <alignment vertical="center" wrapText="1"/>
    </xf>
    <xf numFmtId="0" fontId="5" fillId="9" borderId="4" xfId="0" applyFont="1" applyFill="1" applyBorder="1" applyAlignment="1">
      <alignment vertical="center" wrapText="1"/>
    </xf>
    <xf numFmtId="0" fontId="4" fillId="9" borderId="4" xfId="0" applyFont="1" applyFill="1" applyBorder="1" applyAlignment="1">
      <alignment horizontal="right" vertical="center" wrapText="1"/>
    </xf>
    <xf numFmtId="0" fontId="4" fillId="9" borderId="4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horizontal="right" vertical="center" wrapText="1"/>
    </xf>
    <xf numFmtId="0" fontId="5" fillId="8" borderId="4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horizontal="right" vertical="center" wrapText="1"/>
    </xf>
    <xf numFmtId="0" fontId="4" fillId="8" borderId="4" xfId="0" applyFont="1" applyFill="1" applyBorder="1" applyAlignment="1">
      <alignment vertical="center" wrapText="1"/>
    </xf>
    <xf numFmtId="0" fontId="4" fillId="8" borderId="3" xfId="0" applyFont="1" applyFill="1" applyBorder="1" applyAlignment="1">
      <alignment horizontal="right" vertical="center" wrapText="1"/>
    </xf>
    <xf numFmtId="0" fontId="4" fillId="8" borderId="5" xfId="0" applyFont="1" applyFill="1" applyBorder="1" applyAlignment="1">
      <alignment vertical="center" wrapText="1"/>
    </xf>
    <xf numFmtId="0" fontId="4" fillId="9" borderId="0" xfId="0" applyFont="1" applyFill="1"/>
    <xf numFmtId="0" fontId="1" fillId="7" borderId="7" xfId="0" applyFont="1" applyFill="1" applyBorder="1"/>
    <xf numFmtId="0" fontId="0" fillId="10" borderId="0" xfId="0" applyFill="1"/>
    <xf numFmtId="0" fontId="0" fillId="10" borderId="0" xfId="0" applyFill="1" applyAlignment="1">
      <alignment wrapText="1"/>
    </xf>
    <xf numFmtId="0" fontId="10" fillId="10" borderId="0" xfId="0" applyFont="1" applyFill="1"/>
    <xf numFmtId="0" fontId="0" fillId="6" borderId="0" xfId="0" applyFill="1"/>
    <xf numFmtId="0" fontId="0" fillId="0" borderId="8" xfId="0" applyBorder="1"/>
    <xf numFmtId="0" fontId="1" fillId="6" borderId="11" xfId="0" applyFont="1" applyFill="1" applyBorder="1"/>
    <xf numFmtId="0" fontId="0" fillId="6" borderId="13" xfId="0" applyFill="1" applyBorder="1"/>
    <xf numFmtId="0" fontId="0" fillId="12" borderId="0" xfId="0" applyFill="1"/>
    <xf numFmtId="0" fontId="0" fillId="12" borderId="15" xfId="0" applyFill="1" applyBorder="1"/>
    <xf numFmtId="0" fontId="0" fillId="13" borderId="17" xfId="0" applyFill="1" applyBorder="1" applyAlignment="1">
      <alignment horizontal="center"/>
    </xf>
    <xf numFmtId="0" fontId="0" fillId="13" borderId="18" xfId="0" applyFill="1" applyBorder="1"/>
    <xf numFmtId="0" fontId="0" fillId="11" borderId="22" xfId="0" applyFill="1" applyBorder="1"/>
    <xf numFmtId="0" fontId="0" fillId="11" borderId="23" xfId="0" applyFill="1" applyBorder="1"/>
    <xf numFmtId="0" fontId="0" fillId="11" borderId="24" xfId="0" applyFill="1" applyBorder="1"/>
    <xf numFmtId="0" fontId="9" fillId="13" borderId="16" xfId="0" applyFont="1" applyFill="1" applyBorder="1" applyAlignment="1">
      <alignment horizontal="left"/>
    </xf>
    <xf numFmtId="0" fontId="9" fillId="11" borderId="19" xfId="0" applyFont="1" applyFill="1" applyBorder="1" applyAlignment="1">
      <alignment horizontal="left" indent="3"/>
    </xf>
    <xf numFmtId="0" fontId="0" fillId="11" borderId="20" xfId="0" applyFill="1" applyBorder="1" applyAlignment="1">
      <alignment horizontal="left" indent="3"/>
    </xf>
    <xf numFmtId="0" fontId="9" fillId="6" borderId="9" xfId="0" applyFont="1" applyFill="1" applyBorder="1" applyAlignment="1">
      <alignment horizontal="left" indent="2"/>
    </xf>
    <xf numFmtId="0" fontId="0" fillId="6" borderId="12" xfId="0" applyFill="1" applyBorder="1" applyAlignment="1">
      <alignment horizontal="left" indent="2"/>
    </xf>
    <xf numFmtId="0" fontId="9" fillId="12" borderId="14" xfId="0" applyFont="1" applyFill="1" applyBorder="1" applyAlignment="1">
      <alignment horizontal="left" indent="3"/>
    </xf>
    <xf numFmtId="0" fontId="0" fillId="12" borderId="14" xfId="0" applyFill="1" applyBorder="1" applyAlignment="1">
      <alignment horizontal="left" indent="3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" fillId="6" borderId="10" xfId="0" applyFont="1" applyFill="1" applyBorder="1" applyAlignment="1">
      <alignment horizontal="left" indent="10"/>
    </xf>
    <xf numFmtId="0" fontId="7" fillId="11" borderId="21" xfId="0" applyFont="1" applyFill="1" applyBorder="1" applyAlignment="1">
      <alignment horizontal="left" vertical="top" wrapText="1" indent="12"/>
    </xf>
    <xf numFmtId="0" fontId="7" fillId="12" borderId="0" xfId="0" applyFont="1" applyFill="1" applyAlignment="1">
      <alignment horizontal="left" vertical="center" wrapText="1" indent="11"/>
    </xf>
    <xf numFmtId="0" fontId="1" fillId="14" borderId="0" xfId="0" applyFont="1" applyFill="1"/>
    <xf numFmtId="0" fontId="0" fillId="17" borderId="7" xfId="0" applyFill="1" applyBorder="1"/>
    <xf numFmtId="0" fontId="0" fillId="18" borderId="7" xfId="0" applyFill="1" applyBorder="1"/>
    <xf numFmtId="0" fontId="11" fillId="16" borderId="25" xfId="0" applyFont="1" applyFill="1" applyBorder="1"/>
    <xf numFmtId="0" fontId="11" fillId="16" borderId="26" xfId="0" applyFont="1" applyFill="1" applyBorder="1" applyAlignment="1">
      <alignment horizontal="center"/>
    </xf>
    <xf numFmtId="0" fontId="11" fillId="16" borderId="27" xfId="0" applyFont="1" applyFill="1" applyBorder="1" applyAlignment="1">
      <alignment horizontal="center"/>
    </xf>
    <xf numFmtId="0" fontId="0" fillId="19" borderId="28" xfId="0" applyFill="1" applyBorder="1" applyAlignment="1">
      <alignment horizontal="left"/>
    </xf>
    <xf numFmtId="0" fontId="0" fillId="17" borderId="29" xfId="0" applyFill="1" applyBorder="1"/>
    <xf numFmtId="0" fontId="0" fillId="18" borderId="29" xfId="0" applyFill="1" applyBorder="1"/>
    <xf numFmtId="0" fontId="0" fillId="19" borderId="28" xfId="0" applyFill="1" applyBorder="1" applyAlignment="1">
      <alignment horizontal="left" vertical="center"/>
    </xf>
    <xf numFmtId="0" fontId="0" fillId="19" borderId="30" xfId="0" applyFill="1" applyBorder="1"/>
    <xf numFmtId="0" fontId="0" fillId="18" borderId="31" xfId="0" applyFill="1" applyBorder="1"/>
    <xf numFmtId="0" fontId="0" fillId="18" borderId="32" xfId="0" applyFill="1" applyBorder="1"/>
    <xf numFmtId="9" fontId="0" fillId="0" borderId="7" xfId="1" applyFont="1" applyBorder="1"/>
    <xf numFmtId="9" fontId="0" fillId="0" borderId="0" xfId="1" applyFont="1"/>
    <xf numFmtId="0" fontId="13" fillId="14" borderId="0" xfId="0" applyFont="1" applyFill="1"/>
    <xf numFmtId="0" fontId="1" fillId="15" borderId="7" xfId="0" applyFont="1" applyFill="1" applyBorder="1"/>
    <xf numFmtId="0" fontId="0" fillId="15" borderId="7" xfId="0" applyFill="1" applyBorder="1"/>
    <xf numFmtId="0" fontId="0" fillId="0" borderId="7" xfId="0" applyBorder="1" applyProtection="1">
      <protection locked="0"/>
    </xf>
    <xf numFmtId="0" fontId="0" fillId="6" borderId="7" xfId="0" applyFill="1" applyBorder="1" applyProtection="1">
      <protection locked="0"/>
    </xf>
  </cellXfs>
  <cellStyles count="2">
    <cellStyle name="Normal" xfId="0" builtinId="0"/>
    <cellStyle name="Percent" xfId="1" builtinId="5"/>
  </cellStyles>
  <dxfs count="3">
    <dxf>
      <font>
        <b val="0"/>
        <i/>
      </font>
      <fill>
        <patternFill>
          <bgColor theme="0" tint="-0.34998626667073579"/>
        </patternFill>
      </fill>
    </dxf>
    <dxf>
      <font>
        <color theme="0" tint="-0.14996795556505021"/>
      </font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colors>
    <mruColors>
      <color rgb="FFDFF5E1"/>
      <color rgb="FFFFF3B0"/>
      <color rgb="FFFFE5CC"/>
      <color rgb="FF2E7D32"/>
      <color rgb="FFFFF7E6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Grocery Spend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EB-481E-A351-2A31007F10A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EB-481E-A351-2A31007F10A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EB-481E-A351-2A31007F10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FEB-481E-A351-2A31007F10AA}"/>
              </c:ext>
            </c:extLst>
          </c:dPt>
          <c:cat>
            <c:strRef>
              <c:f>Dashboard!$A$8:$A$13</c:f>
              <c:strCache>
                <c:ptCount val="6"/>
                <c:pt idx="0">
                  <c:v>Vegetables</c:v>
                </c:pt>
                <c:pt idx="1">
                  <c:v>Fruit</c:v>
                </c:pt>
                <c:pt idx="2">
                  <c:v>Protein</c:v>
                </c:pt>
                <c:pt idx="3">
                  <c:v>Dairy &amp; Eggs</c:v>
                </c:pt>
                <c:pt idx="4">
                  <c:v>Pantry</c:v>
                </c:pt>
                <c:pt idx="5">
                  <c:v>Spices</c:v>
                </c:pt>
              </c:strCache>
            </c:strRef>
          </c:cat>
          <c:val>
            <c:numRef>
              <c:f>Dashboard!$B$8:$B$13</c:f>
              <c:numCache>
                <c:formatCode>General</c:formatCode>
                <c:ptCount val="6"/>
                <c:pt idx="0">
                  <c:v>1426</c:v>
                </c:pt>
                <c:pt idx="1">
                  <c:v>412</c:v>
                </c:pt>
                <c:pt idx="2">
                  <c:v>4225</c:v>
                </c:pt>
                <c:pt idx="3">
                  <c:v>1472</c:v>
                </c:pt>
                <c:pt idx="4">
                  <c:v>1418.5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B-481E-A351-2A31007F1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5706447"/>
        <c:axId val="815706927"/>
      </c:barChart>
      <c:catAx>
        <c:axId val="8157064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06927"/>
        <c:crosses val="autoZero"/>
        <c:auto val="1"/>
        <c:lblAlgn val="ctr"/>
        <c:lblOffset val="100"/>
        <c:noMultiLvlLbl val="0"/>
      </c:catAx>
      <c:valAx>
        <c:axId val="81570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</a:t>
                </a:r>
                <a:r>
                  <a:rPr lang="en-IN" baseline="0"/>
                  <a:t> 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70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G$2" lockText="1" noThreeD="1"/>
</file>

<file path=xl/ctrlProps/ctrlProp2.xml><?xml version="1.0" encoding="utf-8"?>
<formControlPr xmlns="http://schemas.microsoft.com/office/spreadsheetml/2009/9/main" objectType="CheckBox" fmlaLink="$G$3" lockText="1" noThreeD="1"/>
</file>

<file path=xl/ctrlProps/ctrlProp3.xml><?xml version="1.0" encoding="utf-8"?>
<formControlPr xmlns="http://schemas.microsoft.com/office/spreadsheetml/2009/9/main" objectType="CheckBox" checked="Checked" fmlaLink="$G$4" lockText="1" noThreeD="1"/>
</file>

<file path=xl/ctrlProps/ctrlProp4.xml><?xml version="1.0" encoding="utf-8"?>
<formControlPr xmlns="http://schemas.microsoft.com/office/spreadsheetml/2009/9/main" objectType="CheckBox" checked="Checked" fmlaLink="$G$5" lockText="1" noThreeD="1"/>
</file>

<file path=xl/ctrlProps/ctrlProp5.xml><?xml version="1.0" encoding="utf-8"?>
<formControlPr xmlns="http://schemas.microsoft.com/office/spreadsheetml/2009/9/main" objectType="CheckBox" fmlaLink="$G$6" lockText="1" noThreeD="1"/>
</file>

<file path=xl/ctrlProps/ctrlProp6.xml><?xml version="1.0" encoding="utf-8"?>
<formControlPr xmlns="http://schemas.microsoft.com/office/spreadsheetml/2009/9/main" objectType="CheckBox" checked="Checked" fmlaLink="$G$7" lockText="1" noThreeD="1"/>
</file>

<file path=xl/ctrlProps/ctrlProp7.xml><?xml version="1.0" encoding="utf-8"?>
<formControlPr xmlns="http://schemas.microsoft.com/office/spreadsheetml/2009/9/main" objectType="CheckBox" checked="Checked" fmlaLink="$G$8" lockText="1" noThreeD="1"/>
</file>

<file path=xl/ctrlProps/ctrlProp8.xml><?xml version="1.0" encoding="utf-8"?>
<formControlPr xmlns="http://schemas.microsoft.com/office/spreadsheetml/2009/9/main" objectType="CheckBox" fmlaLink="$G$9" lockText="1" noThreeD="1"/>
</file>

<file path=xl/ctrlProps/ctrlProp9.xml><?xml version="1.0" encoding="utf-8"?>
<formControlPr xmlns="http://schemas.microsoft.com/office/spreadsheetml/2009/9/main" objectType="CheckBox" checked="Checked" fmlaLink="$G$10" lockText="1" noThreeD="1"/>
</file>

<file path=xl/ctrlProps/ctrlProp10.xml><?xml version="1.0" encoding="utf-8"?>
<formControlPr xmlns="http://schemas.microsoft.com/office/spreadsheetml/2009/9/main" objectType="CheckBox" checked="Checked" fmlaLink="$G$11" lockText="1" noThreeD="1"/>
</file>

<file path=xl/ctrlProps/ctrlProp11.xml><?xml version="1.0" encoding="utf-8"?>
<formControlPr xmlns="http://schemas.microsoft.com/office/spreadsheetml/2009/9/main" objectType="CheckBox" fmlaLink="$G$12" lockText="1" noThreeD="1"/>
</file>

<file path=xl/ctrlProps/ctrlProp12.xml><?xml version="1.0" encoding="utf-8"?>
<formControlPr xmlns="http://schemas.microsoft.com/office/spreadsheetml/2009/9/main" objectType="CheckBox" checked="Checked" fmlaLink="$G$13" lockText="1" noThreeD="1"/>
</file>

<file path=xl/ctrlProps/ctrlProp13.xml><?xml version="1.0" encoding="utf-8"?>
<formControlPr xmlns="http://schemas.microsoft.com/office/spreadsheetml/2009/9/main" objectType="CheckBox" fmlaLink="$G$14" lockText="1" noThreeD="1"/>
</file>

<file path=xl/ctrlProps/ctrlProp14.xml><?xml version="1.0" encoding="utf-8"?>
<formControlPr xmlns="http://schemas.microsoft.com/office/spreadsheetml/2009/9/main" objectType="CheckBox" checked="Checked" fmlaLink="$G$15" lockText="1" noThreeD="1"/>
</file>

<file path=xl/ctrlProps/ctrlProp15.xml><?xml version="1.0" encoding="utf-8"?>
<formControlPr xmlns="http://schemas.microsoft.com/office/spreadsheetml/2009/9/main" objectType="CheckBox" checked="Checked" fmlaLink="$G$16" lockText="1" noThreeD="1"/>
</file>

<file path=xl/ctrlProps/ctrlProp16.xml><?xml version="1.0" encoding="utf-8"?>
<formControlPr xmlns="http://schemas.microsoft.com/office/spreadsheetml/2009/9/main" objectType="CheckBox" checked="Checked" fmlaLink="$G$17" lockText="1" noThreeD="1"/>
</file>

<file path=xl/ctrlProps/ctrlProp17.xml><?xml version="1.0" encoding="utf-8"?>
<formControlPr xmlns="http://schemas.microsoft.com/office/spreadsheetml/2009/9/main" objectType="CheckBox" fmlaLink="$G$18" lockText="1" noThreeD="1"/>
</file>

<file path=xl/ctrlProps/ctrlProp18.xml><?xml version="1.0" encoding="utf-8"?>
<formControlPr xmlns="http://schemas.microsoft.com/office/spreadsheetml/2009/9/main" objectType="CheckBox" checked="Checked" fmlaLink="$G$19" lockText="1" noThreeD="1"/>
</file>

<file path=xl/ctrlProps/ctrlProp19.xml><?xml version="1.0" encoding="utf-8"?>
<formControlPr xmlns="http://schemas.microsoft.com/office/spreadsheetml/2009/9/main" objectType="CheckBox" checked="Checked" fmlaLink="$G$20" lockText="1" noThreeD="1"/>
</file>

<file path=xl/ctrlProps/ctrlProp20.xml><?xml version="1.0" encoding="utf-8"?>
<formControlPr xmlns="http://schemas.microsoft.com/office/spreadsheetml/2009/9/main" objectType="CheckBox" checked="Checked" fmlaLink="$G$21" lockText="1" noThreeD="1"/>
</file>

<file path=xl/ctrlProps/ctrlProp21.xml><?xml version="1.0" encoding="utf-8"?>
<formControlPr xmlns="http://schemas.microsoft.com/office/spreadsheetml/2009/9/main" objectType="CheckBox" fmlaLink="$G$22" lockText="1" noThreeD="1"/>
</file>

<file path=xl/ctrlProps/ctrlProp22.xml><?xml version="1.0" encoding="utf-8"?>
<formControlPr xmlns="http://schemas.microsoft.com/office/spreadsheetml/2009/9/main" objectType="CheckBox" checked="Checked" fmlaLink="$G$23" lockText="1" noThreeD="1"/>
</file>

<file path=xl/ctrlProps/ctrlProp23.xml><?xml version="1.0" encoding="utf-8"?>
<formControlPr xmlns="http://schemas.microsoft.com/office/spreadsheetml/2009/9/main" objectType="CheckBox" fmlaLink="$G$24" lockText="1" noThreeD="1"/>
</file>

<file path=xl/ctrlProps/ctrlProp24.xml><?xml version="1.0" encoding="utf-8"?>
<formControlPr xmlns="http://schemas.microsoft.com/office/spreadsheetml/2009/9/main" objectType="CheckBox" checked="Checked" fmlaLink="$G$25" lockText="1" noThreeD="1"/>
</file>

<file path=xl/ctrlProps/ctrlProp25.xml><?xml version="1.0" encoding="utf-8"?>
<formControlPr xmlns="http://schemas.microsoft.com/office/spreadsheetml/2009/9/main" objectType="CheckBox" checked="Checked" fmlaLink="$G$34" lockText="1" noThreeD="1"/>
</file>

<file path=xl/ctrlProps/ctrlProp26.xml><?xml version="1.0" encoding="utf-8"?>
<formControlPr xmlns="http://schemas.microsoft.com/office/spreadsheetml/2009/9/main" objectType="CheckBox" fmlaLink="$G$35" lockText="1" noThreeD="1"/>
</file>

<file path=xl/ctrlProps/ctrlProp27.xml><?xml version="1.0" encoding="utf-8"?>
<formControlPr xmlns="http://schemas.microsoft.com/office/spreadsheetml/2009/9/main" objectType="CheckBox" checked="Checked" fmlaLink="$G$2" lockText="1" noThreeD="1"/>
</file>

<file path=xl/ctrlProps/ctrlProp28.xml><?xml version="1.0" encoding="utf-8"?>
<formControlPr xmlns="http://schemas.microsoft.com/office/spreadsheetml/2009/9/main" objectType="CheckBox" checked="Checked" fmlaLink="$G$2" lockText="1" noThreeD="1"/>
</file>

<file path=xl/ctrlProps/ctrlProp29.xml><?xml version="1.0" encoding="utf-8"?>
<formControlPr xmlns="http://schemas.microsoft.com/office/spreadsheetml/2009/9/main" objectType="CheckBox" checked="Checked" fmlaLink="$G$2" lockText="1" noThreeD="1"/>
</file>

<file path=xl/ctrlProps/ctrlProp30.xml><?xml version="1.0" encoding="utf-8"?>
<formControlPr xmlns="http://schemas.microsoft.com/office/spreadsheetml/2009/9/main" objectType="CheckBox" checked="Checked" fmlaLink="$G$2" lockText="1" noThreeD="1"/>
</file>

<file path=xl/ctrlProps/ctrlProp31.xml><?xml version="1.0" encoding="utf-8"?>
<formControlPr xmlns="http://schemas.microsoft.com/office/spreadsheetml/2009/9/main" objectType="CheckBox" checked="Checked" fmlaLink="$G$2" lockText="1" noThreeD="1"/>
</file>

<file path=xl/ctrlProps/ctrlProp32.xml><?xml version="1.0" encoding="utf-8"?>
<formControlPr xmlns="http://schemas.microsoft.com/office/spreadsheetml/2009/9/main" objectType="CheckBox" checked="Checked" fmlaLink="$G$2" lockText="1" noThreeD="1"/>
</file>

<file path=xl/ctrlProps/ctrlProp33.xml><?xml version="1.0" encoding="utf-8"?>
<formControlPr xmlns="http://schemas.microsoft.com/office/spreadsheetml/2009/9/main" objectType="CheckBox" checked="Checked" fmlaLink="$G$2" lockText="1" noThreeD="1"/>
</file>

<file path=xl/ctrlProps/ctrlProp34.xml><?xml version="1.0" encoding="utf-8"?>
<formControlPr xmlns="http://schemas.microsoft.com/office/spreadsheetml/2009/9/main" objectType="CheckBox" checked="Checked" fmlaLink="$G$2" lockText="1" noThreeD="1"/>
</file>

<file path=xl/ctrlProps/ctrlProp35.xml><?xml version="1.0" encoding="utf-8"?>
<formControlPr xmlns="http://schemas.microsoft.com/office/spreadsheetml/2009/9/main" objectType="CheckBox" checked="Checked" fmlaLink="$G$2" lockText="1" noThreeD="1"/>
</file>

<file path=xl/ctrlProps/ctrlProp36.xml><?xml version="1.0" encoding="utf-8"?>
<formControlPr xmlns="http://schemas.microsoft.com/office/spreadsheetml/2009/9/main" objectType="CheckBox" checked="Checked" fmlaLink="$G$2" lockText="1" noThreeD="1"/>
</file>

<file path=xl/ctrlProps/ctrlProp37.xml><?xml version="1.0" encoding="utf-8"?>
<formControlPr xmlns="http://schemas.microsoft.com/office/spreadsheetml/2009/9/main" objectType="CheckBox" checked="Checked" fmlaLink="$G$2" lockText="1" noThreeD="1"/>
</file>

<file path=xl/ctrlProps/ctrlProp38.xml><?xml version="1.0" encoding="utf-8"?>
<formControlPr xmlns="http://schemas.microsoft.com/office/spreadsheetml/2009/9/main" objectType="CheckBox" checked="Checked" fmlaLink="$G$2" lockText="1" noThreeD="1"/>
</file>

<file path=xl/ctrlProps/ctrlProp39.xml><?xml version="1.0" encoding="utf-8"?>
<formControlPr xmlns="http://schemas.microsoft.com/office/spreadsheetml/2009/9/main" objectType="CheckBox" checked="Checked" fmlaLink="$G$2" lockText="1" noThreeD="1"/>
</file>

<file path=xl/ctrlProps/ctrlProp40.xml><?xml version="1.0" encoding="utf-8"?>
<formControlPr xmlns="http://schemas.microsoft.com/office/spreadsheetml/2009/9/main" objectType="CheckBox" checked="Checked" fmlaLink="$G$2" lockText="1" noThreeD="1"/>
</file>

<file path=xl/ctrlProps/ctrlProp41.xml><?xml version="1.0" encoding="utf-8"?>
<formControlPr xmlns="http://schemas.microsoft.com/office/spreadsheetml/2009/9/main" objectType="CheckBox" checked="Checked" fmlaLink="$G$2" lockText="1" noThreeD="1"/>
</file>

<file path=xl/ctrlProps/ctrlProp42.xml><?xml version="1.0" encoding="utf-8"?>
<formControlPr xmlns="http://schemas.microsoft.com/office/spreadsheetml/2009/9/main" objectType="CheckBox" checked="Checked" fmlaLink="$G$2" lockText="1" noThreeD="1"/>
</file>

<file path=xl/ctrlProps/ctrlProp43.xml><?xml version="1.0" encoding="utf-8"?>
<formControlPr xmlns="http://schemas.microsoft.com/office/spreadsheetml/2009/9/main" objectType="CheckBox" checked="Checked" fmlaLink="$G$2" lockText="1" noThreeD="1"/>
</file>

<file path=xl/ctrlProps/ctrlProp44.xml><?xml version="1.0" encoding="utf-8"?>
<formControlPr xmlns="http://schemas.microsoft.com/office/spreadsheetml/2009/9/main" objectType="CheckBox" checked="Checked" fmlaLink="$G$2" lockText="1" noThreeD="1"/>
</file>

<file path=xl/ctrlProps/ctrlProp45.xml><?xml version="1.0" encoding="utf-8"?>
<formControlPr xmlns="http://schemas.microsoft.com/office/spreadsheetml/2009/9/main" objectType="CheckBox" checked="Checked" fmlaLink="$G$2" lockText="1" noThreeD="1"/>
</file>

<file path=xl/ctrlProps/ctrlProp46.xml><?xml version="1.0" encoding="utf-8"?>
<formControlPr xmlns="http://schemas.microsoft.com/office/spreadsheetml/2009/9/main" objectType="CheckBox" checked="Checked" fmlaLink="$G$2" lockText="1" noThreeD="1"/>
</file>

<file path=xl/ctrlProps/ctrlProp47.xml><?xml version="1.0" encoding="utf-8"?>
<formControlPr xmlns="http://schemas.microsoft.com/office/spreadsheetml/2009/9/main" objectType="CheckBox" checked="Checked" fmlaLink="$G$2" lockText="1" noThreeD="1"/>
</file>

<file path=xl/ctrlProps/ctrlProp48.xml><?xml version="1.0" encoding="utf-8"?>
<formControlPr xmlns="http://schemas.microsoft.com/office/spreadsheetml/2009/9/main" objectType="CheckBox" checked="Checked" fmlaLink="$G$2" lockText="1" noThreeD="1"/>
</file>

<file path=xl/ctrlProps/ctrlProp49.xml><?xml version="1.0" encoding="utf-8"?>
<formControlPr xmlns="http://schemas.microsoft.com/office/spreadsheetml/2009/9/main" objectType="CheckBox" checked="Checked" fmlaLink="$G$2" lockText="1" noThreeD="1"/>
</file>

<file path=xl/ctrlProps/ctrlProp50.xml><?xml version="1.0" encoding="utf-8"?>
<formControlPr xmlns="http://schemas.microsoft.com/office/spreadsheetml/2009/9/main" objectType="CheckBox" checked="Checked" fmlaLink="$G$2" lockText="1" noThreeD="1"/>
</file>

<file path=xl/ctrlProps/ctrlProp51.xml><?xml version="1.0" encoding="utf-8"?>
<formControlPr xmlns="http://schemas.microsoft.com/office/spreadsheetml/2009/9/main" objectType="CheckBox" checked="Checked" fmlaLink="$G$2" lockText="1" noThreeD="1"/>
</file>

<file path=xl/ctrlProps/ctrlProp52.xml><?xml version="1.0" encoding="utf-8"?>
<formControlPr xmlns="http://schemas.microsoft.com/office/spreadsheetml/2009/9/main" objectType="CheckBox" checked="Checked" fmlaLink="$G$2" lockText="1" noThreeD="1"/>
</file>

<file path=xl/ctrlProps/ctrlProp53.xml><?xml version="1.0" encoding="utf-8"?>
<formControlPr xmlns="http://schemas.microsoft.com/office/spreadsheetml/2009/9/main" objectType="CheckBox" checked="Checked" fmlaLink="G8" lockText="1" noThreeD="1"/>
</file>

<file path=xl/ctrlProps/ctrlProp54.xml><?xml version="1.0" encoding="utf-8"?>
<formControlPr xmlns="http://schemas.microsoft.com/office/spreadsheetml/2009/9/main" objectType="CheckBox" fmlaLink="G9" lockText="1" noThreeD="1"/>
</file>

<file path=xl/ctrlProps/ctrlProp55.xml><?xml version="1.0" encoding="utf-8"?>
<formControlPr xmlns="http://schemas.microsoft.com/office/spreadsheetml/2009/9/main" objectType="CheckBox" checked="Checked" fmlaLink="G10" lockText="1" noThreeD="1"/>
</file>

<file path=xl/ctrlProps/ctrlProp56.xml><?xml version="1.0" encoding="utf-8"?>
<formControlPr xmlns="http://schemas.microsoft.com/office/spreadsheetml/2009/9/main" objectType="CheckBox" checked="Checked" fmlaLink="G11" lockText="1" noThreeD="1"/>
</file>

<file path=xl/ctrlProps/ctrlProp57.xml><?xml version="1.0" encoding="utf-8"?>
<formControlPr xmlns="http://schemas.microsoft.com/office/spreadsheetml/2009/9/main" objectType="CheckBox" fmlaLink="G12" lockText="1" noThreeD="1"/>
</file>

<file path=xl/ctrlProps/ctrlProp58.xml><?xml version="1.0" encoding="utf-8"?>
<formControlPr xmlns="http://schemas.microsoft.com/office/spreadsheetml/2009/9/main" objectType="CheckBox" checked="Checked" fmlaLink="G13" lockText="1" noThreeD="1"/>
</file>

<file path=xl/ctrlProps/ctrlProp59.xml><?xml version="1.0" encoding="utf-8"?>
<formControlPr xmlns="http://schemas.microsoft.com/office/spreadsheetml/2009/9/main" objectType="CheckBox" fmlaLink="G14" lockText="1" noThreeD="1"/>
</file>

<file path=xl/ctrlProps/ctrlProp60.xml><?xml version="1.0" encoding="utf-8"?>
<formControlPr xmlns="http://schemas.microsoft.com/office/spreadsheetml/2009/9/main" objectType="CheckBox" checked="Checked" fmlaLink="G15" lockText="1" noThreeD="1"/>
</file>

<file path=xl/ctrlProps/ctrlProp61.xml><?xml version="1.0" encoding="utf-8"?>
<formControlPr xmlns="http://schemas.microsoft.com/office/spreadsheetml/2009/9/main" objectType="CheckBox" checked="Checked" fmlaLink="G16" lockText="1" noThreeD="1"/>
</file>

<file path=xl/ctrlProps/ctrlProp62.xml><?xml version="1.0" encoding="utf-8"?>
<formControlPr xmlns="http://schemas.microsoft.com/office/spreadsheetml/2009/9/main" objectType="CheckBox" checked="Checked" fmlaLink="G17" lockText="1" noThreeD="1"/>
</file>

<file path=xl/ctrlProps/ctrlProp63.xml><?xml version="1.0" encoding="utf-8"?>
<formControlPr xmlns="http://schemas.microsoft.com/office/spreadsheetml/2009/9/main" objectType="CheckBox" fmlaLink="G18" lockText="1" noThreeD="1"/>
</file>

<file path=xl/ctrlProps/ctrlProp64.xml><?xml version="1.0" encoding="utf-8"?>
<formControlPr xmlns="http://schemas.microsoft.com/office/spreadsheetml/2009/9/main" objectType="CheckBox" checked="Checked" fmlaLink="G19" lockText="1" noThreeD="1"/>
</file>

<file path=xl/ctrlProps/ctrlProp65.xml><?xml version="1.0" encoding="utf-8"?>
<formControlPr xmlns="http://schemas.microsoft.com/office/spreadsheetml/2009/9/main" objectType="CheckBox" checked="Checked" fmlaLink="G20" lockText="1" noThreeD="1"/>
</file>

<file path=xl/ctrlProps/ctrlProp66.xml><?xml version="1.0" encoding="utf-8"?>
<formControlPr xmlns="http://schemas.microsoft.com/office/spreadsheetml/2009/9/main" objectType="CheckBox" checked="Checked" fmlaLink="G21" lockText="1" noThreeD="1"/>
</file>

<file path=xl/ctrlProps/ctrlProp67.xml><?xml version="1.0" encoding="utf-8"?>
<formControlPr xmlns="http://schemas.microsoft.com/office/spreadsheetml/2009/9/main" objectType="CheckBox" fmlaLink="G22" lockText="1" noThreeD="1"/>
</file>

<file path=xl/ctrlProps/ctrlProp68.xml><?xml version="1.0" encoding="utf-8"?>
<formControlPr xmlns="http://schemas.microsoft.com/office/spreadsheetml/2009/9/main" objectType="CheckBox" checked="Checked" fmlaLink="G23" lockText="1" noThreeD="1"/>
</file>

<file path=xl/ctrlProps/ctrlProp69.xml><?xml version="1.0" encoding="utf-8"?>
<formControlPr xmlns="http://schemas.microsoft.com/office/spreadsheetml/2009/9/main" objectType="CheckBox" fmlaLink="G24" lockText="1" noThreeD="1"/>
</file>

<file path=xl/ctrlProps/ctrlProp70.xml><?xml version="1.0" encoding="utf-8"?>
<formControlPr xmlns="http://schemas.microsoft.com/office/spreadsheetml/2009/9/main" objectType="CheckBox" checked="Checked" fmlaLink="G25" lockText="1" noThreeD="1"/>
</file>

<file path=xl/ctrlProps/ctrlProp71.xml><?xml version="1.0" encoding="utf-8"?>
<formControlPr xmlns="http://schemas.microsoft.com/office/spreadsheetml/2009/9/main" objectType="CheckBox" checked="Checked" fmlaLink="G26" lockText="1" noThreeD="1"/>
</file>

<file path=xl/ctrlProps/ctrlProp72.xml><?xml version="1.0" encoding="utf-8"?>
<formControlPr xmlns="http://schemas.microsoft.com/office/spreadsheetml/2009/9/main" objectType="CheckBox" fmlaLink="G27" lockText="1" noThreeD="1"/>
</file>

<file path=xl/ctrlProps/ctrlProp73.xml><?xml version="1.0" encoding="utf-8"?>
<formControlPr xmlns="http://schemas.microsoft.com/office/spreadsheetml/2009/9/main" objectType="CheckBox" checked="Checked" fmlaLink="G28" lockText="1" noThreeD="1"/>
</file>

<file path=xl/ctrlProps/ctrlProp74.xml><?xml version="1.0" encoding="utf-8"?>
<formControlPr xmlns="http://schemas.microsoft.com/office/spreadsheetml/2009/9/main" objectType="CheckBox" checked="Checked" fmlaLink="G30" lockText="1" noThreeD="1"/>
</file>

<file path=xl/ctrlProps/ctrlProp75.xml><?xml version="1.0" encoding="utf-8"?>
<formControlPr xmlns="http://schemas.microsoft.com/office/spreadsheetml/2009/9/main" objectType="CheckBox" checked="Checked" fmlaLink="G30" lockText="1" noThreeD="1"/>
</file>

<file path=xl/ctrlProps/ctrlProp76.xml><?xml version="1.0" encoding="utf-8"?>
<formControlPr xmlns="http://schemas.microsoft.com/office/spreadsheetml/2009/9/main" objectType="CheckBox" checked="Checked" fmlaLink="G31" lockText="1" noThreeD="1"/>
</file>

<file path=xl/ctrlProps/ctrlProp77.xml><?xml version="1.0" encoding="utf-8"?>
<formControlPr xmlns="http://schemas.microsoft.com/office/spreadsheetml/2009/9/main" objectType="CheckBox" fmlaLink="G32" lockText="1" noThreeD="1"/>
</file>

<file path=xl/ctrlProps/ctrlProp78.xml><?xml version="1.0" encoding="utf-8"?>
<formControlPr xmlns="http://schemas.microsoft.com/office/spreadsheetml/2009/9/main" objectType="CheckBox" fmlaLink="G33" lockText="1" noThreeD="1"/>
</file>

<file path=xl/ctrlProps/ctrlProp79.xml><?xml version="1.0" encoding="utf-8"?>
<formControlPr xmlns="http://schemas.microsoft.com/office/spreadsheetml/2009/9/main" objectType="CheckBox" checked="Checked" fmlaLink="G34" lockText="1" noThreeD="1"/>
</file>

<file path=xl/ctrlProps/ctrlProp80.xml><?xml version="1.0" encoding="utf-8"?>
<formControlPr xmlns="http://schemas.microsoft.com/office/spreadsheetml/2009/9/main" objectType="CheckBox" fmlaLink="G35" lockText="1" noThreeD="1"/>
</file>

<file path=xl/ctrlProps/ctrlProp81.xml><?xml version="1.0" encoding="utf-8"?>
<formControlPr xmlns="http://schemas.microsoft.com/office/spreadsheetml/2009/9/main" objectType="CheckBox" fmlaLink="$G$3" lockText="1" noThreeD="1"/>
</file>

<file path=xl/ctrlProps/ctrlProp82.xml><?xml version="1.0" encoding="utf-8"?>
<formControlPr xmlns="http://schemas.microsoft.com/office/spreadsheetml/2009/9/main" objectType="CheckBox" checked="Checked" fmlaLink="$G$4" lockText="1" noThreeD="1"/>
</file>

<file path=xl/ctrlProps/ctrlProp83.xml><?xml version="1.0" encoding="utf-8"?>
<formControlPr xmlns="http://schemas.microsoft.com/office/spreadsheetml/2009/9/main" objectType="CheckBox" checked="Checked" fmlaLink="$G$5" lockText="1" noThreeD="1"/>
</file>

<file path=xl/ctrlProps/ctrlProp84.xml><?xml version="1.0" encoding="utf-8"?>
<formControlPr xmlns="http://schemas.microsoft.com/office/spreadsheetml/2009/9/main" objectType="CheckBox" checked="Checked" fmlaLink="G2" lockText="1" noThreeD="1"/>
</file>

<file path=xl/ctrlProps/ctrlProp85.xml><?xml version="1.0" encoding="utf-8"?>
<formControlPr xmlns="http://schemas.microsoft.com/office/spreadsheetml/2009/9/main" objectType="CheckBox" fmlaLink="G6" lockText="1" noThreeD="1"/>
</file>

<file path=xl/ctrlProps/ctrlProp86.xml><?xml version="1.0" encoding="utf-8"?>
<formControlPr xmlns="http://schemas.microsoft.com/office/spreadsheetml/2009/9/main" objectType="CheckBox" checked="Checked" fmlaLink="G7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14</xdr:row>
          <xdr:rowOff>12700</xdr:rowOff>
        </xdr:from>
        <xdr:to>
          <xdr:col>0</xdr:col>
          <xdr:colOff>679450</xdr:colOff>
          <xdr:row>14</xdr:row>
          <xdr:rowOff>158750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2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15</xdr:row>
          <xdr:rowOff>12700</xdr:rowOff>
        </xdr:from>
        <xdr:to>
          <xdr:col>0</xdr:col>
          <xdr:colOff>679450</xdr:colOff>
          <xdr:row>15</xdr:row>
          <xdr:rowOff>158750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2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16</xdr:row>
          <xdr:rowOff>12700</xdr:rowOff>
        </xdr:from>
        <xdr:to>
          <xdr:col>0</xdr:col>
          <xdr:colOff>679450</xdr:colOff>
          <xdr:row>16</xdr:row>
          <xdr:rowOff>158750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2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17</xdr:row>
          <xdr:rowOff>12700</xdr:rowOff>
        </xdr:from>
        <xdr:to>
          <xdr:col>0</xdr:col>
          <xdr:colOff>679450</xdr:colOff>
          <xdr:row>17</xdr:row>
          <xdr:rowOff>158750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2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18</xdr:row>
          <xdr:rowOff>12700</xdr:rowOff>
        </xdr:from>
        <xdr:to>
          <xdr:col>0</xdr:col>
          <xdr:colOff>679450</xdr:colOff>
          <xdr:row>18</xdr:row>
          <xdr:rowOff>158750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2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19</xdr:row>
          <xdr:rowOff>12700</xdr:rowOff>
        </xdr:from>
        <xdr:to>
          <xdr:col>0</xdr:col>
          <xdr:colOff>679450</xdr:colOff>
          <xdr:row>19</xdr:row>
          <xdr:rowOff>158750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2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11</xdr:row>
          <xdr:rowOff>12700</xdr:rowOff>
        </xdr:from>
        <xdr:to>
          <xdr:col>0</xdr:col>
          <xdr:colOff>679450</xdr:colOff>
          <xdr:row>11</xdr:row>
          <xdr:rowOff>158750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2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12</xdr:row>
          <xdr:rowOff>12700</xdr:rowOff>
        </xdr:from>
        <xdr:to>
          <xdr:col>0</xdr:col>
          <xdr:colOff>679450</xdr:colOff>
          <xdr:row>12</xdr:row>
          <xdr:rowOff>158750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2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20</xdr:row>
          <xdr:rowOff>12700</xdr:rowOff>
        </xdr:from>
        <xdr:to>
          <xdr:col>0</xdr:col>
          <xdr:colOff>679450</xdr:colOff>
          <xdr:row>20</xdr:row>
          <xdr:rowOff>158750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2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21</xdr:row>
          <xdr:rowOff>12700</xdr:rowOff>
        </xdr:from>
        <xdr:to>
          <xdr:col>0</xdr:col>
          <xdr:colOff>679450</xdr:colOff>
          <xdr:row>21</xdr:row>
          <xdr:rowOff>158750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2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22</xdr:row>
          <xdr:rowOff>12700</xdr:rowOff>
        </xdr:from>
        <xdr:to>
          <xdr:col>0</xdr:col>
          <xdr:colOff>679450</xdr:colOff>
          <xdr:row>22</xdr:row>
          <xdr:rowOff>158750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2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23</xdr:row>
          <xdr:rowOff>12700</xdr:rowOff>
        </xdr:from>
        <xdr:to>
          <xdr:col>0</xdr:col>
          <xdr:colOff>679450</xdr:colOff>
          <xdr:row>23</xdr:row>
          <xdr:rowOff>158750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2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24</xdr:row>
          <xdr:rowOff>12700</xdr:rowOff>
        </xdr:from>
        <xdr:to>
          <xdr:col>0</xdr:col>
          <xdr:colOff>679450</xdr:colOff>
          <xdr:row>24</xdr:row>
          <xdr:rowOff>158750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2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25</xdr:row>
          <xdr:rowOff>12700</xdr:rowOff>
        </xdr:from>
        <xdr:to>
          <xdr:col>0</xdr:col>
          <xdr:colOff>679450</xdr:colOff>
          <xdr:row>25</xdr:row>
          <xdr:rowOff>158750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2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26</xdr:row>
          <xdr:rowOff>12700</xdr:rowOff>
        </xdr:from>
        <xdr:to>
          <xdr:col>0</xdr:col>
          <xdr:colOff>679450</xdr:colOff>
          <xdr:row>26</xdr:row>
          <xdr:rowOff>158750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2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27</xdr:row>
          <xdr:rowOff>12700</xdr:rowOff>
        </xdr:from>
        <xdr:to>
          <xdr:col>0</xdr:col>
          <xdr:colOff>679450</xdr:colOff>
          <xdr:row>27</xdr:row>
          <xdr:rowOff>158750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2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28</xdr:row>
          <xdr:rowOff>12700</xdr:rowOff>
        </xdr:from>
        <xdr:to>
          <xdr:col>0</xdr:col>
          <xdr:colOff>679450</xdr:colOff>
          <xdr:row>28</xdr:row>
          <xdr:rowOff>158750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2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29</xdr:row>
          <xdr:rowOff>12700</xdr:rowOff>
        </xdr:from>
        <xdr:to>
          <xdr:col>0</xdr:col>
          <xdr:colOff>679450</xdr:colOff>
          <xdr:row>29</xdr:row>
          <xdr:rowOff>158750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2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30</xdr:row>
          <xdr:rowOff>12700</xdr:rowOff>
        </xdr:from>
        <xdr:to>
          <xdr:col>0</xdr:col>
          <xdr:colOff>679450</xdr:colOff>
          <xdr:row>30</xdr:row>
          <xdr:rowOff>158750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2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31</xdr:row>
          <xdr:rowOff>12700</xdr:rowOff>
        </xdr:from>
        <xdr:to>
          <xdr:col>0</xdr:col>
          <xdr:colOff>679450</xdr:colOff>
          <xdr:row>31</xdr:row>
          <xdr:rowOff>158750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2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32</xdr:row>
          <xdr:rowOff>12700</xdr:rowOff>
        </xdr:from>
        <xdr:to>
          <xdr:col>0</xdr:col>
          <xdr:colOff>679450</xdr:colOff>
          <xdr:row>32</xdr:row>
          <xdr:rowOff>158750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2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13</xdr:row>
          <xdr:rowOff>12700</xdr:rowOff>
        </xdr:from>
        <xdr:to>
          <xdr:col>0</xdr:col>
          <xdr:colOff>679450</xdr:colOff>
          <xdr:row>13</xdr:row>
          <xdr:rowOff>158750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2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33</xdr:row>
          <xdr:rowOff>12700</xdr:rowOff>
        </xdr:from>
        <xdr:to>
          <xdr:col>0</xdr:col>
          <xdr:colOff>679450</xdr:colOff>
          <xdr:row>33</xdr:row>
          <xdr:rowOff>158750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2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34</xdr:row>
          <xdr:rowOff>12700</xdr:rowOff>
        </xdr:from>
        <xdr:to>
          <xdr:col>0</xdr:col>
          <xdr:colOff>679450</xdr:colOff>
          <xdr:row>34</xdr:row>
          <xdr:rowOff>158750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2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</xdr:row>
          <xdr:rowOff>12700</xdr:rowOff>
        </xdr:from>
        <xdr:to>
          <xdr:col>0</xdr:col>
          <xdr:colOff>679450</xdr:colOff>
          <xdr:row>2</xdr:row>
          <xdr:rowOff>158750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2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9</xdr:row>
          <xdr:rowOff>12700</xdr:rowOff>
        </xdr:from>
        <xdr:to>
          <xdr:col>0</xdr:col>
          <xdr:colOff>679450</xdr:colOff>
          <xdr:row>9</xdr:row>
          <xdr:rowOff>158750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2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10</xdr:row>
          <xdr:rowOff>12700</xdr:rowOff>
        </xdr:from>
        <xdr:to>
          <xdr:col>0</xdr:col>
          <xdr:colOff>679450</xdr:colOff>
          <xdr:row>10</xdr:row>
          <xdr:rowOff>158750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2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9</xdr:row>
          <xdr:rowOff>12700</xdr:rowOff>
        </xdr:from>
        <xdr:to>
          <xdr:col>0</xdr:col>
          <xdr:colOff>679450</xdr:colOff>
          <xdr:row>9</xdr:row>
          <xdr:rowOff>158750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2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10</xdr:row>
          <xdr:rowOff>12700</xdr:rowOff>
        </xdr:from>
        <xdr:to>
          <xdr:col>0</xdr:col>
          <xdr:colOff>679450</xdr:colOff>
          <xdr:row>10</xdr:row>
          <xdr:rowOff>158750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2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11</xdr:row>
          <xdr:rowOff>12700</xdr:rowOff>
        </xdr:from>
        <xdr:to>
          <xdr:col>0</xdr:col>
          <xdr:colOff>679450</xdr:colOff>
          <xdr:row>11</xdr:row>
          <xdr:rowOff>158750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2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12</xdr:row>
          <xdr:rowOff>12700</xdr:rowOff>
        </xdr:from>
        <xdr:to>
          <xdr:col>0</xdr:col>
          <xdr:colOff>679450</xdr:colOff>
          <xdr:row>12</xdr:row>
          <xdr:rowOff>158750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2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13</xdr:row>
          <xdr:rowOff>12700</xdr:rowOff>
        </xdr:from>
        <xdr:to>
          <xdr:col>0</xdr:col>
          <xdr:colOff>679450</xdr:colOff>
          <xdr:row>13</xdr:row>
          <xdr:rowOff>158750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2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14</xdr:row>
          <xdr:rowOff>12700</xdr:rowOff>
        </xdr:from>
        <xdr:to>
          <xdr:col>0</xdr:col>
          <xdr:colOff>679450</xdr:colOff>
          <xdr:row>14</xdr:row>
          <xdr:rowOff>158750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2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15</xdr:row>
          <xdr:rowOff>12700</xdr:rowOff>
        </xdr:from>
        <xdr:to>
          <xdr:col>0</xdr:col>
          <xdr:colOff>679450</xdr:colOff>
          <xdr:row>15</xdr:row>
          <xdr:rowOff>158750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2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16</xdr:row>
          <xdr:rowOff>12700</xdr:rowOff>
        </xdr:from>
        <xdr:to>
          <xdr:col>0</xdr:col>
          <xdr:colOff>679450</xdr:colOff>
          <xdr:row>16</xdr:row>
          <xdr:rowOff>158750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2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17</xdr:row>
          <xdr:rowOff>12700</xdr:rowOff>
        </xdr:from>
        <xdr:to>
          <xdr:col>0</xdr:col>
          <xdr:colOff>679450</xdr:colOff>
          <xdr:row>17</xdr:row>
          <xdr:rowOff>158750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2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18</xdr:row>
          <xdr:rowOff>12700</xdr:rowOff>
        </xdr:from>
        <xdr:to>
          <xdr:col>0</xdr:col>
          <xdr:colOff>679450</xdr:colOff>
          <xdr:row>18</xdr:row>
          <xdr:rowOff>158750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2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19</xdr:row>
          <xdr:rowOff>12700</xdr:rowOff>
        </xdr:from>
        <xdr:to>
          <xdr:col>0</xdr:col>
          <xdr:colOff>679450</xdr:colOff>
          <xdr:row>19</xdr:row>
          <xdr:rowOff>158750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2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20</xdr:row>
          <xdr:rowOff>12700</xdr:rowOff>
        </xdr:from>
        <xdr:to>
          <xdr:col>0</xdr:col>
          <xdr:colOff>679450</xdr:colOff>
          <xdr:row>20</xdr:row>
          <xdr:rowOff>158750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2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21</xdr:row>
          <xdr:rowOff>12700</xdr:rowOff>
        </xdr:from>
        <xdr:to>
          <xdr:col>0</xdr:col>
          <xdr:colOff>679450</xdr:colOff>
          <xdr:row>21</xdr:row>
          <xdr:rowOff>158750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2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22</xdr:row>
          <xdr:rowOff>12700</xdr:rowOff>
        </xdr:from>
        <xdr:to>
          <xdr:col>0</xdr:col>
          <xdr:colOff>679450</xdr:colOff>
          <xdr:row>22</xdr:row>
          <xdr:rowOff>158750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2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23</xdr:row>
          <xdr:rowOff>12700</xdr:rowOff>
        </xdr:from>
        <xdr:to>
          <xdr:col>0</xdr:col>
          <xdr:colOff>679450</xdr:colOff>
          <xdr:row>23</xdr:row>
          <xdr:rowOff>158750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2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24</xdr:row>
          <xdr:rowOff>12700</xdr:rowOff>
        </xdr:from>
        <xdr:to>
          <xdr:col>0</xdr:col>
          <xdr:colOff>679450</xdr:colOff>
          <xdr:row>24</xdr:row>
          <xdr:rowOff>158750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2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25</xdr:row>
          <xdr:rowOff>12700</xdr:rowOff>
        </xdr:from>
        <xdr:to>
          <xdr:col>0</xdr:col>
          <xdr:colOff>679450</xdr:colOff>
          <xdr:row>25</xdr:row>
          <xdr:rowOff>158750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2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26</xdr:row>
          <xdr:rowOff>12700</xdr:rowOff>
        </xdr:from>
        <xdr:to>
          <xdr:col>0</xdr:col>
          <xdr:colOff>679450</xdr:colOff>
          <xdr:row>26</xdr:row>
          <xdr:rowOff>158750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2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27</xdr:row>
          <xdr:rowOff>12700</xdr:rowOff>
        </xdr:from>
        <xdr:to>
          <xdr:col>0</xdr:col>
          <xdr:colOff>679450</xdr:colOff>
          <xdr:row>27</xdr:row>
          <xdr:rowOff>158750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2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28</xdr:row>
          <xdr:rowOff>12700</xdr:rowOff>
        </xdr:from>
        <xdr:to>
          <xdr:col>0</xdr:col>
          <xdr:colOff>679450</xdr:colOff>
          <xdr:row>28</xdr:row>
          <xdr:rowOff>158750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2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29</xdr:row>
          <xdr:rowOff>12700</xdr:rowOff>
        </xdr:from>
        <xdr:to>
          <xdr:col>0</xdr:col>
          <xdr:colOff>679450</xdr:colOff>
          <xdr:row>29</xdr:row>
          <xdr:rowOff>158750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2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30</xdr:row>
          <xdr:rowOff>12700</xdr:rowOff>
        </xdr:from>
        <xdr:to>
          <xdr:col>0</xdr:col>
          <xdr:colOff>679450</xdr:colOff>
          <xdr:row>30</xdr:row>
          <xdr:rowOff>158750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2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31</xdr:row>
          <xdr:rowOff>12700</xdr:rowOff>
        </xdr:from>
        <xdr:to>
          <xdr:col>0</xdr:col>
          <xdr:colOff>679450</xdr:colOff>
          <xdr:row>31</xdr:row>
          <xdr:rowOff>158750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2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32</xdr:row>
          <xdr:rowOff>12700</xdr:rowOff>
        </xdr:from>
        <xdr:to>
          <xdr:col>0</xdr:col>
          <xdr:colOff>679450</xdr:colOff>
          <xdr:row>32</xdr:row>
          <xdr:rowOff>158750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2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33</xdr:row>
          <xdr:rowOff>12700</xdr:rowOff>
        </xdr:from>
        <xdr:to>
          <xdr:col>0</xdr:col>
          <xdr:colOff>679450</xdr:colOff>
          <xdr:row>33</xdr:row>
          <xdr:rowOff>158750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2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34</xdr:row>
          <xdr:rowOff>12700</xdr:rowOff>
        </xdr:from>
        <xdr:to>
          <xdr:col>0</xdr:col>
          <xdr:colOff>679450</xdr:colOff>
          <xdr:row>34</xdr:row>
          <xdr:rowOff>158750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2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</xdr:row>
          <xdr:rowOff>12700</xdr:rowOff>
        </xdr:from>
        <xdr:to>
          <xdr:col>0</xdr:col>
          <xdr:colOff>679450</xdr:colOff>
          <xdr:row>3</xdr:row>
          <xdr:rowOff>158750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2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4</xdr:row>
          <xdr:rowOff>12700</xdr:rowOff>
        </xdr:from>
        <xdr:to>
          <xdr:col>0</xdr:col>
          <xdr:colOff>679450</xdr:colOff>
          <xdr:row>4</xdr:row>
          <xdr:rowOff>158750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2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</xdr:row>
          <xdr:rowOff>12700</xdr:rowOff>
        </xdr:from>
        <xdr:to>
          <xdr:col>0</xdr:col>
          <xdr:colOff>679450</xdr:colOff>
          <xdr:row>1</xdr:row>
          <xdr:rowOff>158750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2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5</xdr:row>
          <xdr:rowOff>12700</xdr:rowOff>
        </xdr:from>
        <xdr:to>
          <xdr:col>0</xdr:col>
          <xdr:colOff>679450</xdr:colOff>
          <xdr:row>5</xdr:row>
          <xdr:rowOff>158750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2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6</xdr:row>
          <xdr:rowOff>12700</xdr:rowOff>
        </xdr:from>
        <xdr:to>
          <xdr:col>0</xdr:col>
          <xdr:colOff>679450</xdr:colOff>
          <xdr:row>6</xdr:row>
          <xdr:rowOff>158750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2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7</xdr:row>
          <xdr:rowOff>12700</xdr:rowOff>
        </xdr:from>
        <xdr:to>
          <xdr:col>0</xdr:col>
          <xdr:colOff>679450</xdr:colOff>
          <xdr:row>7</xdr:row>
          <xdr:rowOff>158750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2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8</xdr:row>
          <xdr:rowOff>12700</xdr:rowOff>
        </xdr:from>
        <xdr:to>
          <xdr:col>0</xdr:col>
          <xdr:colOff>679450</xdr:colOff>
          <xdr:row>8</xdr:row>
          <xdr:rowOff>158750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2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9</xdr:row>
          <xdr:rowOff>12700</xdr:rowOff>
        </xdr:from>
        <xdr:to>
          <xdr:col>0</xdr:col>
          <xdr:colOff>679450</xdr:colOff>
          <xdr:row>9</xdr:row>
          <xdr:rowOff>158750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2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10</xdr:row>
          <xdr:rowOff>12700</xdr:rowOff>
        </xdr:from>
        <xdr:to>
          <xdr:col>0</xdr:col>
          <xdr:colOff>679450</xdr:colOff>
          <xdr:row>10</xdr:row>
          <xdr:rowOff>158750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2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11</xdr:row>
          <xdr:rowOff>12700</xdr:rowOff>
        </xdr:from>
        <xdr:to>
          <xdr:col>0</xdr:col>
          <xdr:colOff>679450</xdr:colOff>
          <xdr:row>11</xdr:row>
          <xdr:rowOff>158750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2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12</xdr:row>
          <xdr:rowOff>12700</xdr:rowOff>
        </xdr:from>
        <xdr:to>
          <xdr:col>0</xdr:col>
          <xdr:colOff>679450</xdr:colOff>
          <xdr:row>12</xdr:row>
          <xdr:rowOff>158750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2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13</xdr:row>
          <xdr:rowOff>12700</xdr:rowOff>
        </xdr:from>
        <xdr:to>
          <xdr:col>0</xdr:col>
          <xdr:colOff>679450</xdr:colOff>
          <xdr:row>13</xdr:row>
          <xdr:rowOff>158750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2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14</xdr:row>
          <xdr:rowOff>12700</xdr:rowOff>
        </xdr:from>
        <xdr:to>
          <xdr:col>0</xdr:col>
          <xdr:colOff>679450</xdr:colOff>
          <xdr:row>14</xdr:row>
          <xdr:rowOff>158750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2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15</xdr:row>
          <xdr:rowOff>12700</xdr:rowOff>
        </xdr:from>
        <xdr:to>
          <xdr:col>0</xdr:col>
          <xdr:colOff>679450</xdr:colOff>
          <xdr:row>15</xdr:row>
          <xdr:rowOff>158750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2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16</xdr:row>
          <xdr:rowOff>12700</xdr:rowOff>
        </xdr:from>
        <xdr:to>
          <xdr:col>0</xdr:col>
          <xdr:colOff>679450</xdr:colOff>
          <xdr:row>16</xdr:row>
          <xdr:rowOff>158750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2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17</xdr:row>
          <xdr:rowOff>12700</xdr:rowOff>
        </xdr:from>
        <xdr:to>
          <xdr:col>0</xdr:col>
          <xdr:colOff>679450</xdr:colOff>
          <xdr:row>17</xdr:row>
          <xdr:rowOff>158750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2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18</xdr:row>
          <xdr:rowOff>12700</xdr:rowOff>
        </xdr:from>
        <xdr:to>
          <xdr:col>0</xdr:col>
          <xdr:colOff>679450</xdr:colOff>
          <xdr:row>18</xdr:row>
          <xdr:rowOff>158750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2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19</xdr:row>
          <xdr:rowOff>12700</xdr:rowOff>
        </xdr:from>
        <xdr:to>
          <xdr:col>0</xdr:col>
          <xdr:colOff>679450</xdr:colOff>
          <xdr:row>19</xdr:row>
          <xdr:rowOff>158750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2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20</xdr:row>
          <xdr:rowOff>12700</xdr:rowOff>
        </xdr:from>
        <xdr:to>
          <xdr:col>0</xdr:col>
          <xdr:colOff>679450</xdr:colOff>
          <xdr:row>20</xdr:row>
          <xdr:rowOff>158750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2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21</xdr:row>
          <xdr:rowOff>12700</xdr:rowOff>
        </xdr:from>
        <xdr:to>
          <xdr:col>0</xdr:col>
          <xdr:colOff>679450</xdr:colOff>
          <xdr:row>21</xdr:row>
          <xdr:rowOff>158750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2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22</xdr:row>
          <xdr:rowOff>12700</xdr:rowOff>
        </xdr:from>
        <xdr:to>
          <xdr:col>0</xdr:col>
          <xdr:colOff>679450</xdr:colOff>
          <xdr:row>22</xdr:row>
          <xdr:rowOff>158750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2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23</xdr:row>
          <xdr:rowOff>12700</xdr:rowOff>
        </xdr:from>
        <xdr:to>
          <xdr:col>0</xdr:col>
          <xdr:colOff>679450</xdr:colOff>
          <xdr:row>23</xdr:row>
          <xdr:rowOff>158750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2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24</xdr:row>
          <xdr:rowOff>12700</xdr:rowOff>
        </xdr:from>
        <xdr:to>
          <xdr:col>0</xdr:col>
          <xdr:colOff>679450</xdr:colOff>
          <xdr:row>24</xdr:row>
          <xdr:rowOff>158750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2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25</xdr:row>
          <xdr:rowOff>12700</xdr:rowOff>
        </xdr:from>
        <xdr:to>
          <xdr:col>0</xdr:col>
          <xdr:colOff>679450</xdr:colOff>
          <xdr:row>25</xdr:row>
          <xdr:rowOff>158750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2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26</xdr:row>
          <xdr:rowOff>12700</xdr:rowOff>
        </xdr:from>
        <xdr:to>
          <xdr:col>0</xdr:col>
          <xdr:colOff>679450</xdr:colOff>
          <xdr:row>26</xdr:row>
          <xdr:rowOff>158750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2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27</xdr:row>
          <xdr:rowOff>12700</xdr:rowOff>
        </xdr:from>
        <xdr:to>
          <xdr:col>0</xdr:col>
          <xdr:colOff>679450</xdr:colOff>
          <xdr:row>27</xdr:row>
          <xdr:rowOff>158750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2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28</xdr:row>
          <xdr:rowOff>12700</xdr:rowOff>
        </xdr:from>
        <xdr:to>
          <xdr:col>0</xdr:col>
          <xdr:colOff>679450</xdr:colOff>
          <xdr:row>28</xdr:row>
          <xdr:rowOff>158750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2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29</xdr:row>
          <xdr:rowOff>12700</xdr:rowOff>
        </xdr:from>
        <xdr:to>
          <xdr:col>0</xdr:col>
          <xdr:colOff>679450</xdr:colOff>
          <xdr:row>29</xdr:row>
          <xdr:rowOff>158750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2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30</xdr:row>
          <xdr:rowOff>12700</xdr:rowOff>
        </xdr:from>
        <xdr:to>
          <xdr:col>0</xdr:col>
          <xdr:colOff>679450</xdr:colOff>
          <xdr:row>30</xdr:row>
          <xdr:rowOff>158750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2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31</xdr:row>
          <xdr:rowOff>12700</xdr:rowOff>
        </xdr:from>
        <xdr:to>
          <xdr:col>0</xdr:col>
          <xdr:colOff>679450</xdr:colOff>
          <xdr:row>31</xdr:row>
          <xdr:rowOff>158750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2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32</xdr:row>
          <xdr:rowOff>12700</xdr:rowOff>
        </xdr:from>
        <xdr:to>
          <xdr:col>0</xdr:col>
          <xdr:colOff>679450</xdr:colOff>
          <xdr:row>32</xdr:row>
          <xdr:rowOff>158750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2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33</xdr:row>
          <xdr:rowOff>12700</xdr:rowOff>
        </xdr:from>
        <xdr:to>
          <xdr:col>0</xdr:col>
          <xdr:colOff>679450</xdr:colOff>
          <xdr:row>33</xdr:row>
          <xdr:rowOff>158750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2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336550</xdr:colOff>
          <xdr:row>34</xdr:row>
          <xdr:rowOff>12700</xdr:rowOff>
        </xdr:from>
        <xdr:to>
          <xdr:col>0</xdr:col>
          <xdr:colOff>679450</xdr:colOff>
          <xdr:row>34</xdr:row>
          <xdr:rowOff>158750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2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365125</xdr:colOff>
      <xdr:row>6</xdr:row>
      <xdr:rowOff>12700</xdr:rowOff>
    </xdr:from>
    <xdr:to>
      <xdr:col>6</xdr:col>
      <xdr:colOff>288925</xdr:colOff>
      <xdr:row>20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E6FCC8-0F26-2C3E-E651-6E4C4BCB7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16" Type="http://schemas.openxmlformats.org/officeDocument/2006/relationships/ctrlProp" Target="../ctrlProps/ctrlProp14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5" Type="http://schemas.openxmlformats.org/officeDocument/2006/relationships/ctrlProp" Target="../ctrlProps/ctrlProp3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56" Type="http://schemas.openxmlformats.org/officeDocument/2006/relationships/ctrlProp" Target="../ctrlProps/ctrlProp54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77" Type="http://schemas.openxmlformats.org/officeDocument/2006/relationships/ctrlProp" Target="../ctrlProps/ctrlProp75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083E-7D71-4DAE-83BC-66D8CCB1A7C3}">
  <dimension ref="A1:J43"/>
  <sheetViews>
    <sheetView tabSelected="1" topLeftCell="A25" workbookViewId="0">
      <selection activeCell="K31" sqref="K31"/>
    </sheetView>
  </sheetViews>
  <sheetFormatPr defaultRowHeight="14.5" x14ac:dyDescent="0.35"/>
  <cols>
    <col min="1" max="1" width="17.6328125" customWidth="1"/>
    <col min="2" max="2" width="16.08984375" customWidth="1"/>
    <col min="3" max="3" width="11.81640625" customWidth="1"/>
    <col min="4" max="4" width="12.453125" customWidth="1"/>
    <col min="5" max="5" width="16.453125" customWidth="1"/>
    <col min="6" max="6" width="11.26953125" customWidth="1"/>
    <col min="7" max="7" width="10.7265625" customWidth="1"/>
    <col min="8" max="8" width="17.54296875" customWidth="1"/>
    <col min="10" max="11" width="20.1796875" bestFit="1" customWidth="1"/>
  </cols>
  <sheetData>
    <row r="1" spans="1:10" ht="26.5" thickBot="1" x14ac:dyDescent="0.65">
      <c r="A1" s="1" t="s">
        <v>0</v>
      </c>
    </row>
    <row r="2" spans="1:10" ht="15" thickBot="1" x14ac:dyDescent="0.4">
      <c r="A2" s="2" t="s">
        <v>1</v>
      </c>
      <c r="B2" s="3" t="s">
        <v>2</v>
      </c>
      <c r="C2" s="3" t="s">
        <v>115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64" t="s">
        <v>112</v>
      </c>
    </row>
    <row r="3" spans="1:10" ht="15" thickBot="1" x14ac:dyDescent="0.4">
      <c r="A3" s="4" t="s">
        <v>8</v>
      </c>
      <c r="B3" s="5" t="s">
        <v>9</v>
      </c>
      <c r="C3" s="6">
        <v>200</v>
      </c>
      <c r="D3" s="7" t="s">
        <v>10</v>
      </c>
      <c r="E3" s="7" t="s">
        <v>11</v>
      </c>
      <c r="F3" s="6">
        <v>12</v>
      </c>
      <c r="G3" s="6">
        <v>310</v>
      </c>
      <c r="H3" s="7" t="s">
        <v>12</v>
      </c>
    </row>
    <row r="4" spans="1:10" ht="15" thickBot="1" x14ac:dyDescent="0.4">
      <c r="A4" s="25" t="s">
        <v>8</v>
      </c>
      <c r="B4" s="8" t="s">
        <v>13</v>
      </c>
      <c r="C4" s="9">
        <v>400</v>
      </c>
      <c r="D4" s="10" t="s">
        <v>10</v>
      </c>
      <c r="E4" s="10" t="s">
        <v>11</v>
      </c>
      <c r="F4" s="9">
        <v>18</v>
      </c>
      <c r="G4" s="9">
        <v>82</v>
      </c>
      <c r="H4" s="10" t="s">
        <v>14</v>
      </c>
    </row>
    <row r="5" spans="1:10" ht="15" thickBot="1" x14ac:dyDescent="0.4">
      <c r="A5" s="4" t="s">
        <v>8</v>
      </c>
      <c r="B5" s="5" t="s">
        <v>15</v>
      </c>
      <c r="C5" s="6">
        <v>4</v>
      </c>
      <c r="D5" s="7" t="s">
        <v>16</v>
      </c>
      <c r="E5" s="7" t="s">
        <v>17</v>
      </c>
      <c r="F5" s="6">
        <v>4</v>
      </c>
      <c r="G5" s="6">
        <v>18</v>
      </c>
      <c r="H5" s="7" t="s">
        <v>18</v>
      </c>
      <c r="J5" s="63"/>
    </row>
    <row r="6" spans="1:10" ht="15" thickBot="1" x14ac:dyDescent="0.4">
      <c r="A6" s="25" t="s">
        <v>8</v>
      </c>
      <c r="B6" s="8" t="s">
        <v>19</v>
      </c>
      <c r="C6" s="9">
        <v>2</v>
      </c>
      <c r="D6" s="10" t="s">
        <v>20</v>
      </c>
      <c r="E6" s="10" t="s">
        <v>17</v>
      </c>
      <c r="F6" s="9">
        <v>6</v>
      </c>
      <c r="G6" s="9">
        <v>12</v>
      </c>
      <c r="H6" s="10" t="s">
        <v>21</v>
      </c>
      <c r="J6" s="63"/>
    </row>
    <row r="7" spans="1:10" ht="15" thickBot="1" x14ac:dyDescent="0.4">
      <c r="A7" s="4" t="s">
        <v>8</v>
      </c>
      <c r="B7" s="5" t="s">
        <v>22</v>
      </c>
      <c r="C7" s="6">
        <v>2</v>
      </c>
      <c r="D7" s="7" t="s">
        <v>23</v>
      </c>
      <c r="E7" s="7" t="s">
        <v>11</v>
      </c>
      <c r="F7" s="6">
        <v>8</v>
      </c>
      <c r="G7" s="6">
        <v>240</v>
      </c>
      <c r="H7" s="7" t="s">
        <v>24</v>
      </c>
      <c r="J7" s="63"/>
    </row>
    <row r="8" spans="1:10" ht="15" thickBot="1" x14ac:dyDescent="0.4">
      <c r="A8" s="25" t="s">
        <v>8</v>
      </c>
      <c r="B8" s="8" t="s">
        <v>25</v>
      </c>
      <c r="C8" s="9">
        <v>1</v>
      </c>
      <c r="D8" s="10" t="s">
        <v>26</v>
      </c>
      <c r="E8" s="10" t="s">
        <v>11</v>
      </c>
      <c r="F8" s="9">
        <v>1</v>
      </c>
      <c r="G8" s="9">
        <v>0</v>
      </c>
      <c r="H8" s="10" t="s">
        <v>27</v>
      </c>
      <c r="J8" s="24"/>
    </row>
    <row r="9" spans="1:10" ht="15" thickBot="1" x14ac:dyDescent="0.4">
      <c r="A9" s="4" t="s">
        <v>8</v>
      </c>
      <c r="B9" s="5" t="s">
        <v>28</v>
      </c>
      <c r="C9" s="6">
        <v>10</v>
      </c>
      <c r="D9" s="7" t="s">
        <v>10</v>
      </c>
      <c r="E9" s="7" t="s">
        <v>17</v>
      </c>
      <c r="F9" s="6">
        <v>5</v>
      </c>
      <c r="G9" s="6">
        <v>3</v>
      </c>
      <c r="H9" s="7" t="s">
        <v>29</v>
      </c>
      <c r="J9" s="63"/>
    </row>
    <row r="10" spans="1:10" ht="15" thickBot="1" x14ac:dyDescent="0.4">
      <c r="A10" s="25" t="s">
        <v>30</v>
      </c>
      <c r="B10" s="26" t="s">
        <v>31</v>
      </c>
      <c r="C10" s="27">
        <v>300</v>
      </c>
      <c r="D10" s="28" t="s">
        <v>10</v>
      </c>
      <c r="E10" s="28" t="s">
        <v>32</v>
      </c>
      <c r="F10" s="27">
        <v>65</v>
      </c>
      <c r="G10" s="29">
        <v>330</v>
      </c>
      <c r="H10" s="28" t="s">
        <v>37</v>
      </c>
      <c r="J10" s="24"/>
    </row>
    <row r="11" spans="1:10" ht="15" thickBot="1" x14ac:dyDescent="0.4">
      <c r="A11" s="30" t="s">
        <v>30</v>
      </c>
      <c r="B11" s="31" t="s">
        <v>33</v>
      </c>
      <c r="C11" s="32">
        <v>2</v>
      </c>
      <c r="D11" s="33" t="s">
        <v>20</v>
      </c>
      <c r="E11" s="33" t="s">
        <v>17</v>
      </c>
      <c r="F11" s="32">
        <v>24</v>
      </c>
      <c r="G11" s="34">
        <v>50</v>
      </c>
      <c r="H11" s="33" t="s">
        <v>38</v>
      </c>
    </row>
    <row r="12" spans="1:10" ht="15" thickBot="1" x14ac:dyDescent="0.4">
      <c r="A12" s="25" t="s">
        <v>30</v>
      </c>
      <c r="B12" s="35" t="s">
        <v>34</v>
      </c>
      <c r="C12" s="36">
        <v>200</v>
      </c>
      <c r="D12" s="37" t="s">
        <v>10</v>
      </c>
      <c r="E12" s="37" t="s">
        <v>17</v>
      </c>
      <c r="F12" s="36">
        <v>22</v>
      </c>
      <c r="G12" s="38">
        <v>55</v>
      </c>
      <c r="H12" s="37" t="s">
        <v>39</v>
      </c>
    </row>
    <row r="13" spans="1:10" ht="15" thickBot="1" x14ac:dyDescent="0.4">
      <c r="A13" s="30" t="s">
        <v>30</v>
      </c>
      <c r="B13" s="31" t="s">
        <v>15</v>
      </c>
      <c r="C13" s="32">
        <v>3</v>
      </c>
      <c r="D13" s="33" t="s">
        <v>16</v>
      </c>
      <c r="E13" s="33" t="s">
        <v>17</v>
      </c>
      <c r="F13" s="32">
        <v>3</v>
      </c>
      <c r="G13" s="34">
        <v>14</v>
      </c>
      <c r="H13" s="33" t="s">
        <v>18</v>
      </c>
    </row>
    <row r="14" spans="1:10" ht="15" thickBot="1" x14ac:dyDescent="0.4">
      <c r="A14" s="25" t="s">
        <v>30</v>
      </c>
      <c r="B14" s="35" t="s">
        <v>35</v>
      </c>
      <c r="C14" s="36">
        <v>3</v>
      </c>
      <c r="D14" s="37" t="s">
        <v>23</v>
      </c>
      <c r="E14" s="37" t="s">
        <v>11</v>
      </c>
      <c r="F14" s="36">
        <v>6</v>
      </c>
      <c r="G14" s="38">
        <v>18</v>
      </c>
      <c r="H14" s="37" t="s">
        <v>40</v>
      </c>
    </row>
    <row r="15" spans="1:10" ht="15" thickBot="1" x14ac:dyDescent="0.4">
      <c r="A15" s="4" t="s">
        <v>30</v>
      </c>
      <c r="B15" s="31" t="s">
        <v>36</v>
      </c>
      <c r="C15" s="32">
        <v>1</v>
      </c>
      <c r="D15" s="33" t="s">
        <v>23</v>
      </c>
      <c r="E15" s="33" t="s">
        <v>11</v>
      </c>
      <c r="F15" s="32">
        <v>10</v>
      </c>
      <c r="G15" s="34">
        <v>120</v>
      </c>
      <c r="H15" s="33" t="s">
        <v>41</v>
      </c>
    </row>
    <row r="16" spans="1:10" ht="15" thickBot="1" x14ac:dyDescent="0.4">
      <c r="A16" s="25" t="s">
        <v>30</v>
      </c>
      <c r="B16" s="26" t="s">
        <v>42</v>
      </c>
      <c r="C16" s="27">
        <v>1</v>
      </c>
      <c r="D16" s="28" t="s">
        <v>26</v>
      </c>
      <c r="E16" s="28" t="s">
        <v>17</v>
      </c>
      <c r="F16" s="27">
        <v>4</v>
      </c>
      <c r="G16" s="27">
        <v>6</v>
      </c>
      <c r="H16" s="28" t="s">
        <v>43</v>
      </c>
    </row>
    <row r="17" spans="1:8" ht="15" thickBot="1" x14ac:dyDescent="0.4">
      <c r="A17" s="4" t="s">
        <v>30</v>
      </c>
      <c r="B17" s="31" t="s">
        <v>44</v>
      </c>
      <c r="C17" s="32">
        <v>200</v>
      </c>
      <c r="D17" s="33" t="s">
        <v>10</v>
      </c>
      <c r="E17" s="33" t="s">
        <v>11</v>
      </c>
      <c r="F17" s="32">
        <v>10</v>
      </c>
      <c r="G17" s="32">
        <v>260</v>
      </c>
      <c r="H17" s="33" t="s">
        <v>45</v>
      </c>
    </row>
    <row r="18" spans="1:8" ht="15" thickBot="1" x14ac:dyDescent="0.4">
      <c r="A18" s="39" t="s">
        <v>46</v>
      </c>
      <c r="B18" s="26" t="s">
        <v>47</v>
      </c>
      <c r="C18" s="27">
        <v>3</v>
      </c>
      <c r="D18" s="28" t="s">
        <v>20</v>
      </c>
      <c r="E18" s="28" t="s">
        <v>48</v>
      </c>
      <c r="F18" s="27">
        <v>15</v>
      </c>
      <c r="G18" s="27">
        <v>210</v>
      </c>
      <c r="H18" s="28" t="s">
        <v>49</v>
      </c>
    </row>
    <row r="19" spans="1:8" ht="15" thickBot="1" x14ac:dyDescent="0.4">
      <c r="A19" s="11" t="s">
        <v>46</v>
      </c>
      <c r="B19" s="31" t="s">
        <v>50</v>
      </c>
      <c r="C19" s="32">
        <v>0.5</v>
      </c>
      <c r="D19" s="33" t="s">
        <v>20</v>
      </c>
      <c r="E19" s="33" t="s">
        <v>17</v>
      </c>
      <c r="F19" s="32">
        <v>4</v>
      </c>
      <c r="G19" s="32">
        <v>18</v>
      </c>
      <c r="H19" s="33" t="s">
        <v>51</v>
      </c>
    </row>
    <row r="20" spans="1:8" ht="15" thickBot="1" x14ac:dyDescent="0.4">
      <c r="A20" s="39" t="s">
        <v>46</v>
      </c>
      <c r="B20" s="35" t="s">
        <v>52</v>
      </c>
      <c r="C20" s="36">
        <v>1</v>
      </c>
      <c r="D20" s="37" t="s">
        <v>20</v>
      </c>
      <c r="E20" s="37" t="s">
        <v>17</v>
      </c>
      <c r="F20" s="36">
        <v>6</v>
      </c>
      <c r="G20" s="36">
        <v>22</v>
      </c>
      <c r="H20" s="37" t="s">
        <v>53</v>
      </c>
    </row>
    <row r="21" spans="1:8" ht="15" thickBot="1" x14ac:dyDescent="0.4">
      <c r="A21" s="11" t="s">
        <v>46</v>
      </c>
      <c r="B21" s="31" t="s">
        <v>54</v>
      </c>
      <c r="C21" s="32">
        <v>40</v>
      </c>
      <c r="D21" s="33" t="s">
        <v>10</v>
      </c>
      <c r="E21" s="33" t="s">
        <v>17</v>
      </c>
      <c r="F21" s="32">
        <v>8</v>
      </c>
      <c r="G21" s="32">
        <v>10</v>
      </c>
      <c r="H21" s="33" t="s">
        <v>55</v>
      </c>
    </row>
    <row r="22" spans="1:8" ht="15" thickBot="1" x14ac:dyDescent="0.4">
      <c r="A22" s="39" t="s">
        <v>46</v>
      </c>
      <c r="B22" s="35" t="s">
        <v>56</v>
      </c>
      <c r="C22" s="36">
        <v>30</v>
      </c>
      <c r="D22" s="37" t="s">
        <v>10</v>
      </c>
      <c r="E22" s="37" t="s">
        <v>48</v>
      </c>
      <c r="F22" s="36">
        <v>14</v>
      </c>
      <c r="G22" s="36">
        <v>120</v>
      </c>
      <c r="H22" s="37" t="s">
        <v>57</v>
      </c>
    </row>
    <row r="23" spans="1:8" ht="15" thickBot="1" x14ac:dyDescent="0.4">
      <c r="A23" s="11" t="s">
        <v>46</v>
      </c>
      <c r="B23" s="31" t="s">
        <v>58</v>
      </c>
      <c r="C23" s="32">
        <v>10</v>
      </c>
      <c r="D23" s="33" t="s">
        <v>10</v>
      </c>
      <c r="E23" s="33" t="s">
        <v>48</v>
      </c>
      <c r="F23" s="32">
        <v>6</v>
      </c>
      <c r="G23" s="32">
        <v>72</v>
      </c>
      <c r="H23" s="33" t="s">
        <v>59</v>
      </c>
    </row>
    <row r="24" spans="1:8" ht="15" thickBot="1" x14ac:dyDescent="0.4">
      <c r="A24" s="39" t="s">
        <v>46</v>
      </c>
      <c r="B24" s="35" t="s">
        <v>25</v>
      </c>
      <c r="C24" s="36">
        <v>0.5</v>
      </c>
      <c r="D24" s="37" t="s">
        <v>26</v>
      </c>
      <c r="E24" s="37" t="s">
        <v>11</v>
      </c>
      <c r="F24" s="36">
        <v>1</v>
      </c>
      <c r="G24" s="36">
        <v>0</v>
      </c>
      <c r="H24" s="37" t="s">
        <v>27</v>
      </c>
    </row>
    <row r="25" spans="1:8" ht="15" thickBot="1" x14ac:dyDescent="0.4">
      <c r="A25" s="40" t="s">
        <v>60</v>
      </c>
      <c r="B25" s="12" t="s">
        <v>61</v>
      </c>
      <c r="C25" s="13">
        <v>200</v>
      </c>
      <c r="D25" s="14" t="s">
        <v>10</v>
      </c>
      <c r="E25" s="14" t="s">
        <v>11</v>
      </c>
      <c r="F25" s="13">
        <v>18</v>
      </c>
      <c r="G25" s="13">
        <v>330</v>
      </c>
      <c r="H25" s="14" t="s">
        <v>62</v>
      </c>
    </row>
    <row r="26" spans="1:8" ht="15" thickBot="1" x14ac:dyDescent="0.4">
      <c r="A26" s="24" t="s">
        <v>60</v>
      </c>
      <c r="B26" s="8" t="s">
        <v>50</v>
      </c>
      <c r="C26" s="9">
        <v>1</v>
      </c>
      <c r="D26" s="10" t="s">
        <v>20</v>
      </c>
      <c r="E26" s="10" t="s">
        <v>17</v>
      </c>
      <c r="F26" s="9">
        <v>5</v>
      </c>
      <c r="G26" s="9">
        <v>40</v>
      </c>
      <c r="H26" s="10" t="s">
        <v>21</v>
      </c>
    </row>
    <row r="27" spans="1:8" ht="15" thickBot="1" x14ac:dyDescent="0.4">
      <c r="A27" s="40" t="s">
        <v>60</v>
      </c>
      <c r="B27" s="5" t="s">
        <v>52</v>
      </c>
      <c r="C27" s="6">
        <v>2</v>
      </c>
      <c r="D27" s="7" t="s">
        <v>20</v>
      </c>
      <c r="E27" s="7" t="s">
        <v>17</v>
      </c>
      <c r="F27" s="6">
        <v>10</v>
      </c>
      <c r="G27" s="6">
        <v>40</v>
      </c>
      <c r="H27" s="7" t="s">
        <v>63</v>
      </c>
    </row>
    <row r="28" spans="1:8" ht="15" thickBot="1" x14ac:dyDescent="0.4">
      <c r="A28" s="24" t="s">
        <v>60</v>
      </c>
      <c r="B28" s="8" t="s">
        <v>15</v>
      </c>
      <c r="C28" s="9">
        <v>4</v>
      </c>
      <c r="D28" s="10" t="s">
        <v>16</v>
      </c>
      <c r="E28" s="10" t="s">
        <v>17</v>
      </c>
      <c r="F28" s="9">
        <v>4</v>
      </c>
      <c r="G28" s="9">
        <v>18</v>
      </c>
      <c r="H28" s="10" t="s">
        <v>18</v>
      </c>
    </row>
    <row r="29" spans="1:8" ht="15" thickBot="1" x14ac:dyDescent="0.4">
      <c r="A29" s="40" t="s">
        <v>60</v>
      </c>
      <c r="B29" s="5" t="s">
        <v>64</v>
      </c>
      <c r="C29" s="6">
        <v>1</v>
      </c>
      <c r="D29" s="7" t="s">
        <v>26</v>
      </c>
      <c r="E29" s="7" t="s">
        <v>65</v>
      </c>
      <c r="F29" s="6">
        <v>3</v>
      </c>
      <c r="G29" s="6">
        <v>8</v>
      </c>
      <c r="H29" s="7" t="s">
        <v>66</v>
      </c>
    </row>
    <row r="30" spans="1:8" ht="15" thickBot="1" x14ac:dyDescent="0.4">
      <c r="A30" s="24" t="s">
        <v>60</v>
      </c>
      <c r="B30" s="8" t="s">
        <v>67</v>
      </c>
      <c r="C30" s="9">
        <v>0.5</v>
      </c>
      <c r="D30" s="10" t="s">
        <v>26</v>
      </c>
      <c r="E30" s="10" t="s">
        <v>65</v>
      </c>
      <c r="F30" s="9">
        <v>2</v>
      </c>
      <c r="G30" s="9">
        <v>8</v>
      </c>
      <c r="H30" s="10" t="s">
        <v>68</v>
      </c>
    </row>
    <row r="31" spans="1:8" ht="15" thickBot="1" x14ac:dyDescent="0.4">
      <c r="A31" s="40" t="s">
        <v>60</v>
      </c>
      <c r="B31" s="5" t="s">
        <v>69</v>
      </c>
      <c r="C31" s="6">
        <v>2</v>
      </c>
      <c r="D31" s="7" t="s">
        <v>23</v>
      </c>
      <c r="E31" s="7" t="s">
        <v>48</v>
      </c>
      <c r="F31" s="6">
        <v>12</v>
      </c>
      <c r="G31" s="6">
        <v>240</v>
      </c>
      <c r="H31" s="7" t="s">
        <v>70</v>
      </c>
    </row>
    <row r="32" spans="1:8" ht="15" thickBot="1" x14ac:dyDescent="0.4">
      <c r="A32" s="24" t="s">
        <v>60</v>
      </c>
      <c r="B32" s="8" t="s">
        <v>71</v>
      </c>
      <c r="C32" s="9">
        <v>10</v>
      </c>
      <c r="D32" s="10" t="s">
        <v>10</v>
      </c>
      <c r="E32" s="10" t="s">
        <v>17</v>
      </c>
      <c r="F32" s="9">
        <v>5</v>
      </c>
      <c r="G32" s="9">
        <v>3</v>
      </c>
      <c r="H32" s="10" t="s">
        <v>72</v>
      </c>
    </row>
    <row r="33" spans="1:8" ht="15" thickBot="1" x14ac:dyDescent="0.4">
      <c r="A33" s="11" t="s">
        <v>73</v>
      </c>
      <c r="B33" s="5" t="s">
        <v>74</v>
      </c>
      <c r="C33" s="6">
        <v>2</v>
      </c>
      <c r="D33" s="7" t="s">
        <v>20</v>
      </c>
      <c r="E33" s="7" t="s">
        <v>75</v>
      </c>
      <c r="F33" s="6">
        <v>12</v>
      </c>
      <c r="G33" s="6">
        <v>180</v>
      </c>
      <c r="H33" s="7" t="s">
        <v>76</v>
      </c>
    </row>
    <row r="34" spans="1:8" ht="15" thickBot="1" x14ac:dyDescent="0.4">
      <c r="A34" s="39" t="s">
        <v>73</v>
      </c>
      <c r="B34" s="8" t="s">
        <v>77</v>
      </c>
      <c r="C34" s="9">
        <v>250</v>
      </c>
      <c r="D34" s="10" t="s">
        <v>78</v>
      </c>
      <c r="E34" s="10" t="s">
        <v>48</v>
      </c>
      <c r="F34" s="9">
        <v>15</v>
      </c>
      <c r="G34" s="9">
        <v>120</v>
      </c>
      <c r="H34" s="10" t="s">
        <v>79</v>
      </c>
    </row>
    <row r="35" spans="1:8" ht="15" thickBot="1" x14ac:dyDescent="0.4">
      <c r="A35" s="11" t="s">
        <v>73</v>
      </c>
      <c r="B35" s="5" t="s">
        <v>80</v>
      </c>
      <c r="C35" s="6">
        <v>100</v>
      </c>
      <c r="D35" s="7" t="s">
        <v>10</v>
      </c>
      <c r="E35" s="7" t="s">
        <v>48</v>
      </c>
      <c r="F35" s="6">
        <v>22</v>
      </c>
      <c r="G35" s="6">
        <v>90</v>
      </c>
      <c r="H35" s="7" t="s">
        <v>81</v>
      </c>
    </row>
    <row r="36" spans="1:8" ht="15" thickBot="1" x14ac:dyDescent="0.4">
      <c r="A36" s="39" t="s">
        <v>73</v>
      </c>
      <c r="B36" s="15" t="s">
        <v>82</v>
      </c>
      <c r="C36" s="16">
        <v>1</v>
      </c>
      <c r="D36" s="17" t="s">
        <v>23</v>
      </c>
      <c r="E36" s="17" t="s">
        <v>11</v>
      </c>
      <c r="F36" s="16">
        <v>8</v>
      </c>
      <c r="G36" s="16">
        <v>60</v>
      </c>
      <c r="H36" s="17" t="s">
        <v>83</v>
      </c>
    </row>
    <row r="37" spans="1:8" ht="15" thickBot="1" x14ac:dyDescent="0.4">
      <c r="A37" s="11" t="s">
        <v>73</v>
      </c>
      <c r="B37" s="5" t="s">
        <v>84</v>
      </c>
      <c r="C37" s="6">
        <v>0.5</v>
      </c>
      <c r="D37" s="7" t="s">
        <v>26</v>
      </c>
      <c r="E37" s="7" t="s">
        <v>11</v>
      </c>
      <c r="F37" s="6">
        <v>4</v>
      </c>
      <c r="G37" s="6">
        <v>10</v>
      </c>
      <c r="H37" s="7" t="s">
        <v>85</v>
      </c>
    </row>
    <row r="38" spans="1:8" ht="15" thickBot="1" x14ac:dyDescent="0.4">
      <c r="A38" s="24" t="s">
        <v>86</v>
      </c>
      <c r="B38" s="8" t="s">
        <v>87</v>
      </c>
      <c r="C38" s="9">
        <v>80</v>
      </c>
      <c r="D38" s="10" t="s">
        <v>10</v>
      </c>
      <c r="E38" s="10" t="s">
        <v>11</v>
      </c>
      <c r="F38" s="9">
        <v>8</v>
      </c>
      <c r="G38" s="9">
        <v>300</v>
      </c>
      <c r="H38" s="10" t="s">
        <v>88</v>
      </c>
    </row>
    <row r="39" spans="1:8" ht="15" thickBot="1" x14ac:dyDescent="0.4">
      <c r="A39" s="40" t="s">
        <v>86</v>
      </c>
      <c r="B39" s="5" t="s">
        <v>77</v>
      </c>
      <c r="C39" s="6">
        <v>180</v>
      </c>
      <c r="D39" s="7" t="s">
        <v>78</v>
      </c>
      <c r="E39" s="7" t="s">
        <v>48</v>
      </c>
      <c r="F39" s="6">
        <v>12</v>
      </c>
      <c r="G39" s="6">
        <v>90</v>
      </c>
      <c r="H39" s="7" t="s">
        <v>89</v>
      </c>
    </row>
    <row r="40" spans="1:8" ht="15" thickBot="1" x14ac:dyDescent="0.4">
      <c r="A40" s="24" t="s">
        <v>86</v>
      </c>
      <c r="B40" s="8" t="s">
        <v>90</v>
      </c>
      <c r="C40" s="9">
        <v>15</v>
      </c>
      <c r="D40" s="10" t="s">
        <v>10</v>
      </c>
      <c r="E40" s="10" t="s">
        <v>11</v>
      </c>
      <c r="F40" s="9">
        <v>10</v>
      </c>
      <c r="G40" s="9">
        <v>70</v>
      </c>
      <c r="H40" s="10" t="s">
        <v>91</v>
      </c>
    </row>
    <row r="41" spans="1:8" ht="15" thickBot="1" x14ac:dyDescent="0.4">
      <c r="A41" s="40" t="s">
        <v>86</v>
      </c>
      <c r="B41" s="5" t="s">
        <v>74</v>
      </c>
      <c r="C41" s="6">
        <v>1</v>
      </c>
      <c r="D41" s="7" t="s">
        <v>20</v>
      </c>
      <c r="E41" s="7" t="s">
        <v>75</v>
      </c>
      <c r="F41" s="6">
        <v>6</v>
      </c>
      <c r="G41" s="6">
        <v>90</v>
      </c>
      <c r="H41" s="7" t="s">
        <v>92</v>
      </c>
    </row>
    <row r="42" spans="1:8" ht="15" thickBot="1" x14ac:dyDescent="0.4">
      <c r="A42" s="24" t="s">
        <v>86</v>
      </c>
      <c r="B42" s="8" t="s">
        <v>93</v>
      </c>
      <c r="C42" s="9">
        <v>1</v>
      </c>
      <c r="D42" s="10" t="s">
        <v>23</v>
      </c>
      <c r="E42" s="10" t="s">
        <v>11</v>
      </c>
      <c r="F42" s="9">
        <v>9</v>
      </c>
      <c r="G42" s="9">
        <v>95</v>
      </c>
      <c r="H42" s="10" t="s">
        <v>94</v>
      </c>
    </row>
    <row r="43" spans="1:8" ht="15" thickBot="1" x14ac:dyDescent="0.4">
      <c r="A43" s="40" t="s">
        <v>86</v>
      </c>
      <c r="B43" s="5" t="s">
        <v>95</v>
      </c>
      <c r="C43" s="6">
        <v>60</v>
      </c>
      <c r="D43" s="7" t="s">
        <v>10</v>
      </c>
      <c r="E43" s="7" t="s">
        <v>75</v>
      </c>
      <c r="F43" s="6">
        <v>14</v>
      </c>
      <c r="G43" s="6">
        <v>35</v>
      </c>
      <c r="H43" s="7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2B9F0-2ED7-48E3-A879-8EEAE8AD93E5}">
  <dimension ref="A1:H7"/>
  <sheetViews>
    <sheetView workbookViewId="0">
      <selection activeCell="H7" sqref="H7"/>
    </sheetView>
  </sheetViews>
  <sheetFormatPr defaultRowHeight="14.5" x14ac:dyDescent="0.35"/>
  <cols>
    <col min="1" max="1" width="13.36328125" bestFit="1" customWidth="1"/>
    <col min="2" max="2" width="15.54296875" bestFit="1" customWidth="1"/>
    <col min="3" max="3" width="14.453125" bestFit="1" customWidth="1"/>
    <col min="4" max="5" width="15.54296875" bestFit="1" customWidth="1"/>
    <col min="6" max="6" width="14.7265625" bestFit="1" customWidth="1"/>
    <col min="7" max="7" width="15.54296875" bestFit="1" customWidth="1"/>
    <col min="8" max="8" width="14.7265625" bestFit="1" customWidth="1"/>
  </cols>
  <sheetData>
    <row r="1" spans="1:8" x14ac:dyDescent="0.35">
      <c r="A1" s="19"/>
      <c r="B1" s="21" t="s">
        <v>97</v>
      </c>
      <c r="C1" s="21" t="s">
        <v>98</v>
      </c>
      <c r="D1" s="21" t="s">
        <v>99</v>
      </c>
      <c r="E1" s="21" t="s">
        <v>100</v>
      </c>
      <c r="F1" s="21" t="s">
        <v>101</v>
      </c>
      <c r="G1" s="21" t="s">
        <v>102</v>
      </c>
      <c r="H1" s="21" t="s">
        <v>103</v>
      </c>
    </row>
    <row r="2" spans="1:8" x14ac:dyDescent="0.35">
      <c r="A2" s="22" t="s">
        <v>113</v>
      </c>
      <c r="B2" s="86" t="s">
        <v>46</v>
      </c>
      <c r="C2" s="86" t="s">
        <v>60</v>
      </c>
      <c r="D2" s="86" t="s">
        <v>8</v>
      </c>
      <c r="E2" s="86" t="s">
        <v>73</v>
      </c>
      <c r="F2" s="86" t="s">
        <v>46</v>
      </c>
      <c r="G2" s="86" t="s">
        <v>86</v>
      </c>
      <c r="H2" s="86" t="s">
        <v>8</v>
      </c>
    </row>
    <row r="3" spans="1:8" x14ac:dyDescent="0.35">
      <c r="A3" s="22" t="s">
        <v>107</v>
      </c>
      <c r="B3" s="20">
        <f>SUMIF(RecipeDB!$A$3:$A$43,B2,RecipeDB!$F$3:$F$43)</f>
        <v>54</v>
      </c>
      <c r="C3" s="20">
        <f>SUMIF(RecipeDB!$A$3:$A$43,C2,RecipeDB!$F$3:$F$43)</f>
        <v>59</v>
      </c>
      <c r="D3" s="20">
        <f>SUMIF(RecipeDB!$A$3:$A$43,D2,RecipeDB!$F$3:$F$43)</f>
        <v>54</v>
      </c>
      <c r="E3" s="20">
        <f>SUMIF(RecipeDB!$A$3:$A$43,E2,RecipeDB!$F$3:$F$43)</f>
        <v>61</v>
      </c>
      <c r="F3" s="20">
        <f>SUMIF(RecipeDB!$A$3:$A$43,F2,RecipeDB!$F$3:$F$43)</f>
        <v>54</v>
      </c>
      <c r="G3" s="20">
        <f>SUMIF(RecipeDB!$A$3:$A$43,G2,RecipeDB!$F$3:$F$43)</f>
        <v>59</v>
      </c>
      <c r="H3" s="20">
        <f>SUMIF(RecipeDB!$A$3:$A$43,H2,RecipeDB!$F$3:$F$43)</f>
        <v>54</v>
      </c>
    </row>
    <row r="4" spans="1:8" x14ac:dyDescent="0.35">
      <c r="A4" s="23" t="s">
        <v>114</v>
      </c>
      <c r="B4" s="86" t="s">
        <v>60</v>
      </c>
      <c r="C4" s="86" t="s">
        <v>86</v>
      </c>
      <c r="D4" s="86" t="s">
        <v>30</v>
      </c>
      <c r="E4" s="86" t="s">
        <v>60</v>
      </c>
      <c r="F4" s="86" t="s">
        <v>30</v>
      </c>
      <c r="G4" s="86" t="s">
        <v>46</v>
      </c>
      <c r="H4" s="86" t="s">
        <v>86</v>
      </c>
    </row>
    <row r="5" spans="1:8" x14ac:dyDescent="0.35">
      <c r="A5" s="23" t="s">
        <v>105</v>
      </c>
      <c r="B5" s="20">
        <f>SUMIF(RecipeDB!$A$3:$A$43,B4,RecipeDB!$F$3:$F$43)</f>
        <v>59</v>
      </c>
      <c r="C5" s="20">
        <f>SUMIF(RecipeDB!$A$3:$A$43,C4,RecipeDB!$F$3:$F$43)</f>
        <v>59</v>
      </c>
      <c r="D5" s="20">
        <f>SUMIF(RecipeDB!$A$3:$A$43,D4,RecipeDB!$F$3:$F$43)</f>
        <v>144</v>
      </c>
      <c r="E5" s="20">
        <f>SUMIF(RecipeDB!$A$3:$A$43,E4,RecipeDB!$F$3:$F$43)</f>
        <v>59</v>
      </c>
      <c r="F5" s="20">
        <f>SUMIF(RecipeDB!$A$3:$A$43,F4,RecipeDB!$F$3:$F$43)</f>
        <v>144</v>
      </c>
      <c r="G5" s="20">
        <f>SUMIF(RecipeDB!$A$3:$A$43,G4,RecipeDB!$F$3:$F$43)</f>
        <v>54</v>
      </c>
      <c r="H5" s="20">
        <f>SUMIF(RecipeDB!$A$3:$A$43,H4,RecipeDB!$F$3:$F$43)</f>
        <v>59</v>
      </c>
    </row>
    <row r="6" spans="1:8" x14ac:dyDescent="0.35">
      <c r="A6" s="22" t="s">
        <v>104</v>
      </c>
      <c r="B6" s="19" t="s">
        <v>73</v>
      </c>
      <c r="C6" s="19" t="s">
        <v>46</v>
      </c>
      <c r="D6" s="19" t="s">
        <v>73</v>
      </c>
      <c r="E6" s="19" t="s">
        <v>86</v>
      </c>
      <c r="F6" s="19" t="s">
        <v>8</v>
      </c>
      <c r="G6" s="19" t="s">
        <v>73</v>
      </c>
      <c r="H6" s="19" t="s">
        <v>30</v>
      </c>
    </row>
    <row r="7" spans="1:8" x14ac:dyDescent="0.35">
      <c r="A7" s="22" t="s">
        <v>106</v>
      </c>
      <c r="B7" s="87">
        <f>SUMIF(RecipeDB!$A$3:$A$43,B6,RecipeDB!$F$3:$F$43)</f>
        <v>61</v>
      </c>
      <c r="C7" s="87">
        <f>SUMIF(RecipeDB!$A$3:$A$43,C6,RecipeDB!$F$3:$F$43)</f>
        <v>54</v>
      </c>
      <c r="D7" s="87">
        <f>SUMIF(RecipeDB!$A$3:$A$43,D6,RecipeDB!$F$3:$F$43)</f>
        <v>61</v>
      </c>
      <c r="E7" s="87">
        <f>SUMIF(RecipeDB!$A$3:$A$43,E6,RecipeDB!$F$3:$F$43)</f>
        <v>59</v>
      </c>
      <c r="F7" s="87">
        <f>SUMIF(RecipeDB!$A$3:$A$43,F6,RecipeDB!$F$3:$F$43)</f>
        <v>54</v>
      </c>
      <c r="G7" s="87">
        <f>SUMIF(RecipeDB!$A$3:$A$43,G6,RecipeDB!$F$3:$F$43)</f>
        <v>61</v>
      </c>
      <c r="H7" s="87">
        <f>SUMIF(RecipeDB!$A$3:$A$43,H6,RecipeDB!$F$3:$F$43)</f>
        <v>144</v>
      </c>
    </row>
  </sheetData>
  <phoneticPr fontId="6" type="noConversion"/>
  <dataValidations count="1">
    <dataValidation type="list" allowBlank="1" showInputMessage="1" showErrorMessage="1" sqref="B2:H2 B4:H4 B6:H6" xr:uid="{3B729086-7CA2-4421-85A2-8087F338F589}">
      <formula1>"Pasta Arrabbiata,Chicken Stir Fry,Veggie Omelette,Dal Tadka,Banana Smoothie,Overnight Oats"</formula1>
    </dataValidation>
  </dataValidations>
  <pageMargins left="0.7" right="0.7" top="0.75" bottom="0.75" header="0.3" footer="0.3"/>
  <ignoredErrors>
    <ignoredError sqref="B7:H7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466E-941C-46A6-A953-DF6FFC140C2D}">
  <dimension ref="A1:I36"/>
  <sheetViews>
    <sheetView workbookViewId="0">
      <selection activeCell="K4" sqref="K4"/>
    </sheetView>
  </sheetViews>
  <sheetFormatPr defaultRowHeight="14.5" x14ac:dyDescent="0.35"/>
  <cols>
    <col min="1" max="1" width="14.1796875" customWidth="1"/>
    <col min="2" max="2" width="22.08984375" customWidth="1"/>
    <col min="3" max="3" width="17.26953125" customWidth="1"/>
    <col min="5" max="5" width="13" customWidth="1"/>
    <col min="9" max="9" width="15.36328125" bestFit="1" customWidth="1"/>
  </cols>
  <sheetData>
    <row r="1" spans="1:9" x14ac:dyDescent="0.35">
      <c r="A1" s="41" t="s">
        <v>108</v>
      </c>
      <c r="B1" s="41" t="s">
        <v>2</v>
      </c>
      <c r="C1" s="41" t="s">
        <v>109</v>
      </c>
      <c r="D1" s="41" t="s">
        <v>3</v>
      </c>
      <c r="E1" s="41" t="s">
        <v>4</v>
      </c>
      <c r="F1" s="41" t="s">
        <v>110</v>
      </c>
      <c r="G1" s="41" t="s">
        <v>7</v>
      </c>
      <c r="I1" s="18" t="s">
        <v>111</v>
      </c>
    </row>
    <row r="2" spans="1:9" x14ac:dyDescent="0.35">
      <c r="A2" s="86"/>
      <c r="B2" s="19" t="s">
        <v>15</v>
      </c>
      <c r="C2" s="19">
        <f>SUMIF(RecipeDB!$B$3:$B$43,B2,RecipeDB!$C$3:$C$43)</f>
        <v>11</v>
      </c>
      <c r="D2" s="19" t="str">
        <f>INDEX(RecipeDB!$D$3:$D$43,MATCH(B2,RecipeDB!$B$3:$B$43,0))</f>
        <v>cloves</v>
      </c>
      <c r="E2" s="19" t="str">
        <f>INDEX(RecipeDB!$E$3:$E$43,MATCH(B2,RecipeDB!$B$3:$B$43,0))</f>
        <v>Vegetables</v>
      </c>
      <c r="F2" s="19">
        <f>(C2 / _xlfn.XLOOKUP(B2,RecipeDB!B:B,RecipeDB!C:C)) * _xlfn.XLOOKUP(B2,RecipeDB!B:B,RecipeDB!F:F)
 * _xlfn.XLOOKUP(B2,RecipeDB!B:B,RecipeDB!F:F)</f>
        <v>44</v>
      </c>
      <c r="G2" s="19" t="b">
        <v>1</v>
      </c>
      <c r="I2" t="str" cm="1">
        <f t="array" ref="I2:I13">_xlfn._xlws.FILTER(B2:B35,G2:G35=FALSE,"")</f>
        <v>Red Chilli</v>
      </c>
    </row>
    <row r="3" spans="1:9" x14ac:dyDescent="0.35">
      <c r="A3" s="86"/>
      <c r="B3" s="19" t="s">
        <v>19</v>
      </c>
      <c r="C3" s="19">
        <f>SUMIF(RecipeDB!$B$3:$B$43,B3,RecipeDB!$C$3:$C$43)</f>
        <v>2</v>
      </c>
      <c r="D3" s="19" t="str">
        <f>INDEX(RecipeDB!$D$3:$D$43,MATCH(B3,RecipeDB!$B$3:$B$43,0))</f>
        <v>pcs</v>
      </c>
      <c r="E3" s="19" t="str">
        <f>INDEX(RecipeDB!$E$3:$E$43,MATCH(B3,RecipeDB!$B$3:$B$43,0))</f>
        <v>Vegetables</v>
      </c>
      <c r="F3" s="19">
        <f>(C3 / _xlfn.XLOOKUP(B3,RecipeDB!B:B,RecipeDB!C:C)) * _xlfn.XLOOKUP(B3,RecipeDB!B:B,RecipeDB!F:F)
 * _xlfn.XLOOKUP(B3,RecipeDB!B:B,RecipeDB!F:F)</f>
        <v>36</v>
      </c>
      <c r="G3" s="19" t="b">
        <v>0</v>
      </c>
      <c r="I3" t="str">
        <v>Broccoli</v>
      </c>
    </row>
    <row r="4" spans="1:9" x14ac:dyDescent="0.35">
      <c r="A4" s="86"/>
      <c r="B4" s="19" t="s">
        <v>28</v>
      </c>
      <c r="C4" s="19">
        <f>SUMIF(RecipeDB!$B$3:$B$43,B4,RecipeDB!$C$3:$C$43)</f>
        <v>10</v>
      </c>
      <c r="D4" s="19" t="str">
        <f>INDEX(RecipeDB!$D$3:$D$43,MATCH(B4,RecipeDB!$B$3:$B$43,0))</f>
        <v>g</v>
      </c>
      <c r="E4" s="19" t="str">
        <f>INDEX(RecipeDB!$E$3:$E$43,MATCH(B4,RecipeDB!$B$3:$B$43,0))</f>
        <v>Vegetables</v>
      </c>
      <c r="F4" s="19">
        <f>(C4 / _xlfn.XLOOKUP(B4,RecipeDB!B:B,RecipeDB!C:C)) * _xlfn.XLOOKUP(B4,RecipeDB!B:B,RecipeDB!F:F)
 * _xlfn.XLOOKUP(B4,RecipeDB!B:B,RecipeDB!F:F)</f>
        <v>25</v>
      </c>
      <c r="G4" s="19" t="b">
        <v>1</v>
      </c>
      <c r="I4" t="str">
        <v>Tomato</v>
      </c>
    </row>
    <row r="5" spans="1:9" x14ac:dyDescent="0.35">
      <c r="A5" s="86"/>
      <c r="B5" s="19" t="s">
        <v>33</v>
      </c>
      <c r="C5" s="19">
        <f>SUMIF(RecipeDB!$B$3:$B$43,B5,RecipeDB!$C$3:$C$43)</f>
        <v>2</v>
      </c>
      <c r="D5" s="19" t="str">
        <f>INDEX(RecipeDB!$D$3:$D$43,MATCH(B5,RecipeDB!$B$3:$B$43,0))</f>
        <v>pcs</v>
      </c>
      <c r="E5" s="19" t="str">
        <f>INDEX(RecipeDB!$E$3:$E$43,MATCH(B5,RecipeDB!$B$3:$B$43,0))</f>
        <v>Vegetables</v>
      </c>
      <c r="F5" s="19">
        <f>(C5 / _xlfn.XLOOKUP(B5,RecipeDB!B:B,RecipeDB!C:C)) * _xlfn.XLOOKUP(B5,RecipeDB!B:B,RecipeDB!F:F)
 * _xlfn.XLOOKUP(B5,RecipeDB!B:B,RecipeDB!F:F)</f>
        <v>576</v>
      </c>
      <c r="G5" s="19" t="b">
        <v>1</v>
      </c>
      <c r="I5" t="str">
        <v>Banana</v>
      </c>
    </row>
    <row r="6" spans="1:9" x14ac:dyDescent="0.35">
      <c r="A6" s="86"/>
      <c r="B6" s="19" t="s">
        <v>34</v>
      </c>
      <c r="C6" s="19">
        <f>SUMIF(RecipeDB!$B$3:$B$43,B6,RecipeDB!$C$3:$C$43)</f>
        <v>200</v>
      </c>
      <c r="D6" s="19" t="str">
        <f>INDEX(RecipeDB!$D$3:$D$43,MATCH(B6,RecipeDB!$B$3:$B$43,0))</f>
        <v>g</v>
      </c>
      <c r="E6" s="19" t="str">
        <f>INDEX(RecipeDB!$E$3:$E$43,MATCH(B6,RecipeDB!$B$3:$B$43,0))</f>
        <v>Vegetables</v>
      </c>
      <c r="F6" s="19">
        <f>(C6 / _xlfn.XLOOKUP(B6,RecipeDB!B:B,RecipeDB!C:C)) * _xlfn.XLOOKUP(B6,RecipeDB!B:B,RecipeDB!F:F)
 * _xlfn.XLOOKUP(B6,RecipeDB!B:B,RecipeDB!F:F)</f>
        <v>484</v>
      </c>
      <c r="G6" s="19" t="b">
        <v>0</v>
      </c>
      <c r="I6" t="str">
        <v>Chicken Breast</v>
      </c>
    </row>
    <row r="7" spans="1:9" x14ac:dyDescent="0.35">
      <c r="A7" s="86"/>
      <c r="B7" s="19" t="s">
        <v>42</v>
      </c>
      <c r="C7" s="19">
        <f>SUMIF(RecipeDB!$B$3:$B$43,B7,RecipeDB!$C$3:$C$43)</f>
        <v>1</v>
      </c>
      <c r="D7" s="19" t="str">
        <f>INDEX(RecipeDB!$D$3:$D$43,MATCH(B7,RecipeDB!$B$3:$B$43,0))</f>
        <v>tsp</v>
      </c>
      <c r="E7" s="19" t="str">
        <f>INDEX(RecipeDB!$E$3:$E$43,MATCH(B7,RecipeDB!$B$3:$B$43,0))</f>
        <v>Vegetables</v>
      </c>
      <c r="F7" s="19">
        <f>(C7 / _xlfn.XLOOKUP(B7,RecipeDB!B:B,RecipeDB!C:C)) * _xlfn.XLOOKUP(B7,RecipeDB!B:B,RecipeDB!F:F)
 * _xlfn.XLOOKUP(B7,RecipeDB!B:B,RecipeDB!F:F)</f>
        <v>16</v>
      </c>
      <c r="G7" s="19" t="b">
        <v>1</v>
      </c>
      <c r="I7" t="str">
        <v>Ghee</v>
      </c>
    </row>
    <row r="8" spans="1:9" x14ac:dyDescent="0.35">
      <c r="A8" s="86"/>
      <c r="B8" s="19" t="s">
        <v>50</v>
      </c>
      <c r="C8" s="19">
        <f>SUMIF(RecipeDB!$B$3:$B$43,B8,RecipeDB!$C$3:$C$43)</f>
        <v>1.5</v>
      </c>
      <c r="D8" s="19" t="str">
        <f>INDEX(RecipeDB!$D$3:$D$43,MATCH(B8,RecipeDB!$B$3:$B$43,0))</f>
        <v>pcs</v>
      </c>
      <c r="E8" s="19" t="str">
        <f>INDEX(RecipeDB!$E$3:$E$43,MATCH(B8,RecipeDB!$B$3:$B$43,0))</f>
        <v>Vegetables</v>
      </c>
      <c r="F8" s="19">
        <f>(C8 / _xlfn.XLOOKUP(B8,RecipeDB!B:B,RecipeDB!C:C)) * _xlfn.XLOOKUP(B8,RecipeDB!B:B,RecipeDB!F:F)
 * _xlfn.XLOOKUP(B8,RecipeDB!B:B,RecipeDB!F:F)</f>
        <v>48</v>
      </c>
      <c r="G8" s="19" t="b">
        <v>1</v>
      </c>
      <c r="I8" t="str">
        <v>Tinned Tomatoes</v>
      </c>
    </row>
    <row r="9" spans="1:9" x14ac:dyDescent="0.35">
      <c r="A9" s="86"/>
      <c r="B9" s="19" t="s">
        <v>52</v>
      </c>
      <c r="C9" s="19">
        <f>SUMIF(RecipeDB!$B$3:$B$43,B9,RecipeDB!$C$3:$C$43)</f>
        <v>3</v>
      </c>
      <c r="D9" s="19" t="str">
        <f>INDEX(RecipeDB!$D$3:$D$43,MATCH(B9,RecipeDB!$B$3:$B$43,0))</f>
        <v>pcs</v>
      </c>
      <c r="E9" s="19" t="str">
        <f>INDEX(RecipeDB!$E$3:$E$43,MATCH(B9,RecipeDB!$B$3:$B$43,0))</f>
        <v>Vegetables</v>
      </c>
      <c r="F9" s="19">
        <f>(C9 / _xlfn.XLOOKUP(B9,RecipeDB!B:B,RecipeDB!C:C)) * _xlfn.XLOOKUP(B9,RecipeDB!B:B,RecipeDB!F:F)
 * _xlfn.XLOOKUP(B9,RecipeDB!B:B,RecipeDB!F:F)</f>
        <v>108</v>
      </c>
      <c r="G9" s="19" t="b">
        <v>0</v>
      </c>
      <c r="I9" t="str">
        <v>Salt</v>
      </c>
    </row>
    <row r="10" spans="1:9" x14ac:dyDescent="0.35">
      <c r="A10" s="86"/>
      <c r="B10" s="19" t="s">
        <v>54</v>
      </c>
      <c r="C10" s="19">
        <f>SUMIF(RecipeDB!$B$3:$B$43,B10,RecipeDB!$C$3:$C$43)</f>
        <v>40</v>
      </c>
      <c r="D10" s="19" t="str">
        <f>INDEX(RecipeDB!$D$3:$D$43,MATCH(B10,RecipeDB!$B$3:$B$43,0))</f>
        <v>g</v>
      </c>
      <c r="E10" s="19" t="str">
        <f>INDEX(RecipeDB!$E$3:$E$43,MATCH(B10,RecipeDB!$B$3:$B$43,0))</f>
        <v>Vegetables</v>
      </c>
      <c r="F10" s="19">
        <f>(C10 / _xlfn.XLOOKUP(B10,RecipeDB!B:B,RecipeDB!C:C)) * _xlfn.XLOOKUP(B10,RecipeDB!B:B,RecipeDB!F:F)
 * _xlfn.XLOOKUP(B10,RecipeDB!B:B,RecipeDB!F:F)</f>
        <v>64</v>
      </c>
      <c r="G10" s="19" t="b">
        <v>1</v>
      </c>
      <c r="I10" t="str">
        <v>Rice</v>
      </c>
    </row>
    <row r="11" spans="1:9" x14ac:dyDescent="0.35">
      <c r="A11" s="86"/>
      <c r="B11" s="19" t="s">
        <v>71</v>
      </c>
      <c r="C11" s="19">
        <f>SUMIF(RecipeDB!$B$3:$B$43,B11,RecipeDB!$C$3:$C$43)</f>
        <v>10</v>
      </c>
      <c r="D11" s="19" t="str">
        <f>INDEX(RecipeDB!$D$3:$D$43,MATCH(B11,RecipeDB!$B$3:$B$43,0))</f>
        <v>g</v>
      </c>
      <c r="E11" s="19" t="str">
        <f>INDEX(RecipeDB!$E$3:$E$43,MATCH(B11,RecipeDB!$B$3:$B$43,0))</f>
        <v>Vegetables</v>
      </c>
      <c r="F11" s="19">
        <f>(C11 / _xlfn.XLOOKUP(B11,RecipeDB!B:B,RecipeDB!C:C)) * _xlfn.XLOOKUP(B11,RecipeDB!B:B,RecipeDB!F:F)
 * _xlfn.XLOOKUP(B11,RecipeDB!B:B,RecipeDB!F:F)</f>
        <v>25</v>
      </c>
      <c r="G11" s="19" t="b">
        <v>1</v>
      </c>
      <c r="I11" t="str">
        <v>Chia Seeds</v>
      </c>
    </row>
    <row r="12" spans="1:9" x14ac:dyDescent="0.35">
      <c r="A12" s="86"/>
      <c r="B12" s="19" t="s">
        <v>74</v>
      </c>
      <c r="C12" s="19">
        <f>SUMIF(RecipeDB!$B$3:$B$43,B12,RecipeDB!$C$3:$C$43)</f>
        <v>3</v>
      </c>
      <c r="D12" s="19" t="str">
        <f>INDEX(RecipeDB!$D$3:$D$43,MATCH(B12,RecipeDB!$B$3:$B$43,0))</f>
        <v>pcs</v>
      </c>
      <c r="E12" s="19" t="str">
        <f>INDEX(RecipeDB!$E$3:$E$43,MATCH(B12,RecipeDB!$B$3:$B$43,0))</f>
        <v>Fruit</v>
      </c>
      <c r="F12" s="19">
        <f>(C12 / _xlfn.XLOOKUP(B12,RecipeDB!B:B,RecipeDB!C:C)) * _xlfn.XLOOKUP(B12,RecipeDB!B:B,RecipeDB!F:F)
 * _xlfn.XLOOKUP(B12,RecipeDB!B:B,RecipeDB!F:F)</f>
        <v>216</v>
      </c>
      <c r="G12" s="19" t="b">
        <v>0</v>
      </c>
      <c r="I12" t="str">
        <v>Peanut Butter</v>
      </c>
    </row>
    <row r="13" spans="1:9" x14ac:dyDescent="0.35">
      <c r="A13" s="86"/>
      <c r="B13" s="19" t="s">
        <v>95</v>
      </c>
      <c r="C13" s="19">
        <f>SUMIF(RecipeDB!$B$3:$B$43,B13,RecipeDB!$C$3:$C$43)</f>
        <v>60</v>
      </c>
      <c r="D13" s="19" t="str">
        <f>INDEX(RecipeDB!$D$3:$D$43,MATCH(B13,RecipeDB!$B$3:$B$43,0))</f>
        <v>g</v>
      </c>
      <c r="E13" s="19" t="str">
        <f>INDEX(RecipeDB!$E$3:$E$43,MATCH(B13,RecipeDB!$B$3:$B$43,0))</f>
        <v>Fruit</v>
      </c>
      <c r="F13" s="19">
        <f>(C13 / _xlfn.XLOOKUP(B13,RecipeDB!B:B,RecipeDB!C:C)) * _xlfn.XLOOKUP(B13,RecipeDB!B:B,RecipeDB!F:F)
 * _xlfn.XLOOKUP(B13,RecipeDB!B:B,RecipeDB!F:F)</f>
        <v>196</v>
      </c>
      <c r="G13" s="19" t="b">
        <v>1</v>
      </c>
      <c r="I13" t="str">
        <v>Turmeric</v>
      </c>
    </row>
    <row r="14" spans="1:9" x14ac:dyDescent="0.35">
      <c r="A14" s="86"/>
      <c r="B14" s="19" t="s">
        <v>31</v>
      </c>
      <c r="C14" s="19">
        <f>SUMIF(RecipeDB!$B$3:$B$43,B14,RecipeDB!$C$3:$C$43)</f>
        <v>300</v>
      </c>
      <c r="D14" s="19" t="str">
        <f>INDEX(RecipeDB!$D$3:$D$43,MATCH(B14,RecipeDB!$B$3:$B$43,0))</f>
        <v>g</v>
      </c>
      <c r="E14" s="19" t="str">
        <f>INDEX(RecipeDB!$E$3:$E$43,MATCH(B14,RecipeDB!$B$3:$B$43,0))</f>
        <v>Protein</v>
      </c>
      <c r="F14" s="19">
        <f>(C14 / _xlfn.XLOOKUP(B14,RecipeDB!B:B,RecipeDB!C:C)) * _xlfn.XLOOKUP(B14,RecipeDB!B:B,RecipeDB!F:F)
 * _xlfn.XLOOKUP(B14,RecipeDB!B:B,RecipeDB!F:F)</f>
        <v>4225</v>
      </c>
      <c r="G14" s="19" t="b">
        <v>0</v>
      </c>
    </row>
    <row r="15" spans="1:9" x14ac:dyDescent="0.35">
      <c r="A15" s="86"/>
      <c r="B15" s="19" t="s">
        <v>47</v>
      </c>
      <c r="C15" s="19">
        <f>SUMIF(RecipeDB!$B$3:$B$43,B15,RecipeDB!$C$3:$C$43)</f>
        <v>3</v>
      </c>
      <c r="D15" s="19" t="str">
        <f>INDEX(RecipeDB!$D$3:$D$43,MATCH(B15,RecipeDB!$B$3:$B$43,0))</f>
        <v>pcs</v>
      </c>
      <c r="E15" s="19" t="str">
        <f>INDEX(RecipeDB!$E$3:$E$43,MATCH(B15,RecipeDB!$B$3:$B$43,0))</f>
        <v>Dairy &amp; Eggs</v>
      </c>
      <c r="F15" s="19">
        <f>(C15 / _xlfn.XLOOKUP(B15,RecipeDB!B:B,RecipeDB!C:C)) * _xlfn.XLOOKUP(B15,RecipeDB!B:B,RecipeDB!F:F)
 * _xlfn.XLOOKUP(B15,RecipeDB!B:B,RecipeDB!F:F)</f>
        <v>225</v>
      </c>
      <c r="G15" s="19" t="b">
        <v>1</v>
      </c>
    </row>
    <row r="16" spans="1:9" x14ac:dyDescent="0.35">
      <c r="A16" s="86"/>
      <c r="B16" s="19" t="s">
        <v>56</v>
      </c>
      <c r="C16" s="19">
        <f>SUMIF(RecipeDB!$B$3:$B$43,B16,RecipeDB!$C$3:$C$43)</f>
        <v>30</v>
      </c>
      <c r="D16" s="19" t="str">
        <f>INDEX(RecipeDB!$D$3:$D$43,MATCH(B16,RecipeDB!$B$3:$B$43,0))</f>
        <v>g</v>
      </c>
      <c r="E16" s="19" t="str">
        <f>INDEX(RecipeDB!$E$3:$E$43,MATCH(B16,RecipeDB!$B$3:$B$43,0))</f>
        <v>Dairy &amp; Eggs</v>
      </c>
      <c r="F16" s="19">
        <f>(C16 / _xlfn.XLOOKUP(B16,RecipeDB!B:B,RecipeDB!C:C)) * _xlfn.XLOOKUP(B16,RecipeDB!B:B,RecipeDB!F:F)
 * _xlfn.XLOOKUP(B16,RecipeDB!B:B,RecipeDB!F:F)</f>
        <v>196</v>
      </c>
      <c r="G16" s="19" t="b">
        <v>1</v>
      </c>
    </row>
    <row r="17" spans="1:7" x14ac:dyDescent="0.35">
      <c r="A17" s="86"/>
      <c r="B17" s="19" t="s">
        <v>58</v>
      </c>
      <c r="C17" s="19">
        <f>SUMIF(RecipeDB!$B$3:$B$43,B17,RecipeDB!$C$3:$C$43)</f>
        <v>10</v>
      </c>
      <c r="D17" s="19" t="str">
        <f>INDEX(RecipeDB!$D$3:$D$43,MATCH(B17,RecipeDB!$B$3:$B$43,0))</f>
        <v>g</v>
      </c>
      <c r="E17" s="19" t="str">
        <f>INDEX(RecipeDB!$E$3:$E$43,MATCH(B17,RecipeDB!$B$3:$B$43,0))</f>
        <v>Dairy &amp; Eggs</v>
      </c>
      <c r="F17" s="19">
        <f>(C17 / _xlfn.XLOOKUP(B17,RecipeDB!B:B,RecipeDB!C:C)) * _xlfn.XLOOKUP(B17,RecipeDB!B:B,RecipeDB!F:F)
 * _xlfn.XLOOKUP(B17,RecipeDB!B:B,RecipeDB!F:F)</f>
        <v>36</v>
      </c>
      <c r="G17" s="19" t="b">
        <v>1</v>
      </c>
    </row>
    <row r="18" spans="1:7" x14ac:dyDescent="0.35">
      <c r="A18" s="86"/>
      <c r="B18" s="19" t="s">
        <v>69</v>
      </c>
      <c r="C18" s="19">
        <f>SUMIF(RecipeDB!$B$3:$B$43,B18,RecipeDB!$C$3:$C$43)</f>
        <v>2</v>
      </c>
      <c r="D18" s="19" t="str">
        <f>INDEX(RecipeDB!$D$3:$D$43,MATCH(B18,RecipeDB!$B$3:$B$43,0))</f>
        <v>tbsp</v>
      </c>
      <c r="E18" s="19" t="str">
        <f>INDEX(RecipeDB!$E$3:$E$43,MATCH(B18,RecipeDB!$B$3:$B$43,0))</f>
        <v>Dairy &amp; Eggs</v>
      </c>
      <c r="F18" s="19">
        <f>(C18 / _xlfn.XLOOKUP(B18,RecipeDB!B:B,RecipeDB!C:C)) * _xlfn.XLOOKUP(B18,RecipeDB!B:B,RecipeDB!F:F)
 * _xlfn.XLOOKUP(B18,RecipeDB!B:B,RecipeDB!F:F)</f>
        <v>144</v>
      </c>
      <c r="G18" s="19" t="b">
        <v>0</v>
      </c>
    </row>
    <row r="19" spans="1:7" x14ac:dyDescent="0.35">
      <c r="A19" s="86"/>
      <c r="B19" s="19" t="s">
        <v>77</v>
      </c>
      <c r="C19" s="19">
        <f>SUMIF(RecipeDB!$B$3:$B$43,B19,RecipeDB!$C$3:$C$43)</f>
        <v>430</v>
      </c>
      <c r="D19" s="19" t="str">
        <f>INDEX(RecipeDB!$D$3:$D$43,MATCH(B19,RecipeDB!$B$3:$B$43,0))</f>
        <v>ml</v>
      </c>
      <c r="E19" s="19" t="str">
        <f>INDEX(RecipeDB!$E$3:$E$43,MATCH(B19,RecipeDB!$B$3:$B$43,0))</f>
        <v>Dairy &amp; Eggs</v>
      </c>
      <c r="F19" s="19">
        <f>(C19 / _xlfn.XLOOKUP(B19,RecipeDB!B:B,RecipeDB!C:C)) * _xlfn.XLOOKUP(B19,RecipeDB!B:B,RecipeDB!F:F)
 * _xlfn.XLOOKUP(B19,RecipeDB!B:B,RecipeDB!F:F)</f>
        <v>387</v>
      </c>
      <c r="G19" s="19" t="b">
        <v>1</v>
      </c>
    </row>
    <row r="20" spans="1:7" x14ac:dyDescent="0.35">
      <c r="A20" s="86"/>
      <c r="B20" s="19" t="s">
        <v>80</v>
      </c>
      <c r="C20" s="19">
        <f>SUMIF(RecipeDB!$B$3:$B$43,B20,RecipeDB!$C$3:$C$43)</f>
        <v>100</v>
      </c>
      <c r="D20" s="19" t="str">
        <f>INDEX(RecipeDB!$D$3:$D$43,MATCH(B20,RecipeDB!$B$3:$B$43,0))</f>
        <v>g</v>
      </c>
      <c r="E20" s="19" t="str">
        <f>INDEX(RecipeDB!$E$3:$E$43,MATCH(B20,RecipeDB!$B$3:$B$43,0))</f>
        <v>Dairy &amp; Eggs</v>
      </c>
      <c r="F20" s="19">
        <f>(C20 / _xlfn.XLOOKUP(B20,RecipeDB!B:B,RecipeDB!C:C)) * _xlfn.XLOOKUP(B20,RecipeDB!B:B,RecipeDB!F:F)
 * _xlfn.XLOOKUP(B20,RecipeDB!B:B,RecipeDB!F:F)</f>
        <v>484</v>
      </c>
      <c r="G20" s="19" t="b">
        <v>1</v>
      </c>
    </row>
    <row r="21" spans="1:7" x14ac:dyDescent="0.35">
      <c r="A21" s="86"/>
      <c r="B21" s="19" t="s">
        <v>9</v>
      </c>
      <c r="C21" s="19">
        <f>SUMIF(RecipeDB!$B$3:$B$43,B21,RecipeDB!$C$3:$C$43)</f>
        <v>200</v>
      </c>
      <c r="D21" s="19" t="str">
        <f>INDEX(RecipeDB!$D$3:$D$43,MATCH(B21,RecipeDB!$B$3:$B$43,0))</f>
        <v>g</v>
      </c>
      <c r="E21" s="19" t="str">
        <f>INDEX(RecipeDB!$E$3:$E$43,MATCH(B21,RecipeDB!$B$3:$B$43,0))</f>
        <v>Pantry</v>
      </c>
      <c r="F21" s="19">
        <f>(C21 / _xlfn.XLOOKUP(B21,RecipeDB!B:B,RecipeDB!C:C)) * _xlfn.XLOOKUP(B21,RecipeDB!B:B,RecipeDB!F:F)
 * _xlfn.XLOOKUP(B21,RecipeDB!B:B,RecipeDB!F:F)</f>
        <v>144</v>
      </c>
      <c r="G21" s="19" t="b">
        <v>1</v>
      </c>
    </row>
    <row r="22" spans="1:7" x14ac:dyDescent="0.35">
      <c r="A22" s="86"/>
      <c r="B22" s="19" t="s">
        <v>13</v>
      </c>
      <c r="C22" s="19">
        <f>SUMIF(RecipeDB!$B$3:$B$43,B22,RecipeDB!$C$3:$C$43)</f>
        <v>400</v>
      </c>
      <c r="D22" s="19" t="str">
        <f>INDEX(RecipeDB!$D$3:$D$43,MATCH(B22,RecipeDB!$B$3:$B$43,0))</f>
        <v>g</v>
      </c>
      <c r="E22" s="19" t="str">
        <f>INDEX(RecipeDB!$E$3:$E$43,MATCH(B22,RecipeDB!$B$3:$B$43,0))</f>
        <v>Pantry</v>
      </c>
      <c r="F22" s="19">
        <f>(C22 / _xlfn.XLOOKUP(B22,RecipeDB!B:B,RecipeDB!C:C)) * _xlfn.XLOOKUP(B22,RecipeDB!B:B,RecipeDB!F:F)
 * _xlfn.XLOOKUP(B22,RecipeDB!B:B,RecipeDB!F:F)</f>
        <v>324</v>
      </c>
      <c r="G22" s="19" t="b">
        <v>0</v>
      </c>
    </row>
    <row r="23" spans="1:7" x14ac:dyDescent="0.35">
      <c r="A23" s="86"/>
      <c r="B23" s="19" t="s">
        <v>22</v>
      </c>
      <c r="C23" s="19">
        <f>SUMIF(RecipeDB!$B$3:$B$43,B23,RecipeDB!$C$3:$C$43)</f>
        <v>2</v>
      </c>
      <c r="D23" s="19" t="str">
        <f>INDEX(RecipeDB!$D$3:$D$43,MATCH(B23,RecipeDB!$B$3:$B$43,0))</f>
        <v>tbsp</v>
      </c>
      <c r="E23" s="19" t="str">
        <f>INDEX(RecipeDB!$E$3:$E$43,MATCH(B23,RecipeDB!$B$3:$B$43,0))</f>
        <v>Pantry</v>
      </c>
      <c r="F23" s="19">
        <f>(C23 / _xlfn.XLOOKUP(B23,RecipeDB!B:B,RecipeDB!C:C)) * _xlfn.XLOOKUP(B23,RecipeDB!B:B,RecipeDB!F:F)
 * _xlfn.XLOOKUP(B23,RecipeDB!B:B,RecipeDB!F:F)</f>
        <v>64</v>
      </c>
      <c r="G23" s="19" t="b">
        <v>1</v>
      </c>
    </row>
    <row r="24" spans="1:7" x14ac:dyDescent="0.35">
      <c r="A24" s="86"/>
      <c r="B24" s="19" t="s">
        <v>25</v>
      </c>
      <c r="C24" s="19">
        <f>SUMIF(RecipeDB!$B$3:$B$43,B24,RecipeDB!$C$3:$C$43)</f>
        <v>1.5</v>
      </c>
      <c r="D24" s="19" t="str">
        <f>INDEX(RecipeDB!$D$3:$D$43,MATCH(B24,RecipeDB!$B$3:$B$43,0))</f>
        <v>tsp</v>
      </c>
      <c r="E24" s="19" t="str">
        <f>INDEX(RecipeDB!$E$3:$E$43,MATCH(B24,RecipeDB!$B$3:$B$43,0))</f>
        <v>Pantry</v>
      </c>
      <c r="F24" s="19">
        <f>(C24 / _xlfn.XLOOKUP(B24,RecipeDB!B:B,RecipeDB!C:C)) * _xlfn.XLOOKUP(B24,RecipeDB!B:B,RecipeDB!F:F)
 * _xlfn.XLOOKUP(B24,RecipeDB!B:B,RecipeDB!F:F)</f>
        <v>1.5</v>
      </c>
      <c r="G24" s="19" t="b">
        <v>0</v>
      </c>
    </row>
    <row r="25" spans="1:7" x14ac:dyDescent="0.35">
      <c r="A25" s="86"/>
      <c r="B25" s="19" t="s">
        <v>35</v>
      </c>
      <c r="C25" s="19">
        <f>SUMIF(RecipeDB!$B$3:$B$43,B25,RecipeDB!$C$3:$C$43)</f>
        <v>3</v>
      </c>
      <c r="D25" s="19" t="str">
        <f>INDEX(RecipeDB!$D$3:$D$43,MATCH(B25,RecipeDB!$B$3:$B$43,0))</f>
        <v>tbsp</v>
      </c>
      <c r="E25" s="19" t="str">
        <f>INDEX(RecipeDB!$E$3:$E$43,MATCH(B25,RecipeDB!$B$3:$B$43,0))</f>
        <v>Pantry</v>
      </c>
      <c r="F25" s="19">
        <f>(C25 / _xlfn.XLOOKUP(B25,RecipeDB!B:B,RecipeDB!C:C)) * _xlfn.XLOOKUP(B25,RecipeDB!B:B,RecipeDB!F:F)
 * _xlfn.XLOOKUP(B25,RecipeDB!B:B,RecipeDB!F:F)</f>
        <v>36</v>
      </c>
      <c r="G25" s="19" t="b">
        <v>1</v>
      </c>
    </row>
    <row r="26" spans="1:7" x14ac:dyDescent="0.35">
      <c r="A26" s="86"/>
      <c r="B26" s="19" t="s">
        <v>36</v>
      </c>
      <c r="C26" s="19">
        <f>SUMIF(RecipeDB!$B$3:$B$43,B26,RecipeDB!$C$3:$C$43)</f>
        <v>1</v>
      </c>
      <c r="D26" s="19" t="str">
        <f>INDEX(RecipeDB!$D$3:$D$43,MATCH(B26,RecipeDB!$B$3:$B$43,0))</f>
        <v>tbsp</v>
      </c>
      <c r="E26" s="19" t="str">
        <f>INDEX(RecipeDB!$E$3:$E$43,MATCH(B26,RecipeDB!$B$3:$B$43,0))</f>
        <v>Pantry</v>
      </c>
      <c r="F26" s="19">
        <f>(C26 / _xlfn.XLOOKUP(B26,RecipeDB!B:B,RecipeDB!C:C)) * _xlfn.XLOOKUP(B26,RecipeDB!B:B,RecipeDB!F:F)
 * _xlfn.XLOOKUP(B26,RecipeDB!B:B,RecipeDB!F:F)</f>
        <v>100</v>
      </c>
      <c r="G26" s="19" t="b">
        <v>1</v>
      </c>
    </row>
    <row r="27" spans="1:7" x14ac:dyDescent="0.35">
      <c r="A27" s="86"/>
      <c r="B27" s="19" t="s">
        <v>44</v>
      </c>
      <c r="C27" s="19">
        <f>SUMIF(RecipeDB!$B$3:$B$43,B27,RecipeDB!$C$3:$C$43)</f>
        <v>200</v>
      </c>
      <c r="D27" s="19" t="str">
        <f>INDEX(RecipeDB!$D$3:$D$43,MATCH(B27,RecipeDB!$B$3:$B$43,0))</f>
        <v>g</v>
      </c>
      <c r="E27" s="19" t="str">
        <f>INDEX(RecipeDB!$E$3:$E$43,MATCH(B27,RecipeDB!$B$3:$B$43,0))</f>
        <v>Pantry</v>
      </c>
      <c r="F27" s="19">
        <f>(C27 / _xlfn.XLOOKUP(B27,RecipeDB!B:B,RecipeDB!C:C)) * _xlfn.XLOOKUP(B27,RecipeDB!B:B,RecipeDB!F:F)
 * _xlfn.XLOOKUP(B27,RecipeDB!B:B,RecipeDB!F:F)</f>
        <v>100</v>
      </c>
      <c r="G27" s="19" t="b">
        <v>0</v>
      </c>
    </row>
    <row r="28" spans="1:7" x14ac:dyDescent="0.35">
      <c r="A28" s="86"/>
      <c r="B28" s="19" t="s">
        <v>61</v>
      </c>
      <c r="C28" s="19">
        <f>SUMIF(RecipeDB!$B$3:$B$43,B28,RecipeDB!$C$3:$C$43)</f>
        <v>200</v>
      </c>
      <c r="D28" s="19" t="str">
        <f>INDEX(RecipeDB!$D$3:$D$43,MATCH(B28,RecipeDB!$B$3:$B$43,0))</f>
        <v>g</v>
      </c>
      <c r="E28" s="19" t="str">
        <f>INDEX(RecipeDB!$E$3:$E$43,MATCH(B28,RecipeDB!$B$3:$B$43,0))</f>
        <v>Pantry</v>
      </c>
      <c r="F28" s="19">
        <f>(C28 / _xlfn.XLOOKUP(B28,RecipeDB!B:B,RecipeDB!C:C)) * _xlfn.XLOOKUP(B28,RecipeDB!B:B,RecipeDB!F:F)
 * _xlfn.XLOOKUP(B28,RecipeDB!B:B,RecipeDB!F:F)</f>
        <v>324</v>
      </c>
      <c r="G28" s="19" t="b">
        <v>1</v>
      </c>
    </row>
    <row r="29" spans="1:7" x14ac:dyDescent="0.35">
      <c r="A29" s="86"/>
      <c r="B29" s="19" t="s">
        <v>82</v>
      </c>
      <c r="C29" s="19">
        <f>SUMIF(RecipeDB!$B$3:$B$43,B29,RecipeDB!$C$3:$C$43)</f>
        <v>1</v>
      </c>
      <c r="D29" s="19" t="str">
        <f>INDEX(RecipeDB!$D$3:$D$43,MATCH(B29,RecipeDB!$B$3:$B$43,0))</f>
        <v>tbsp</v>
      </c>
      <c r="E29" s="19" t="str">
        <f>INDEX(RecipeDB!$E$3:$E$43,MATCH(B29,RecipeDB!$B$3:$B$43,0))</f>
        <v>Pantry</v>
      </c>
      <c r="F29" s="19">
        <f>(C29 / _xlfn.XLOOKUP(B29,RecipeDB!B:B,RecipeDB!C:C)) * _xlfn.XLOOKUP(B29,RecipeDB!B:B,RecipeDB!F:F)
 * _xlfn.XLOOKUP(B29,RecipeDB!B:B,RecipeDB!F:F)</f>
        <v>64</v>
      </c>
      <c r="G29" s="19" t="b">
        <v>1</v>
      </c>
    </row>
    <row r="30" spans="1:7" x14ac:dyDescent="0.35">
      <c r="A30" s="86"/>
      <c r="B30" s="19" t="s">
        <v>84</v>
      </c>
      <c r="C30" s="19">
        <f>SUMIF(RecipeDB!$B$3:$B$43,B30,RecipeDB!$C$3:$C$43)</f>
        <v>0.5</v>
      </c>
      <c r="D30" s="19" t="str">
        <f>INDEX(RecipeDB!$D$3:$D$43,MATCH(B30,RecipeDB!$B$3:$B$43,0))</f>
        <v>tsp</v>
      </c>
      <c r="E30" s="19" t="str">
        <f>INDEX(RecipeDB!$E$3:$E$43,MATCH(B30,RecipeDB!$B$3:$B$43,0))</f>
        <v>Pantry</v>
      </c>
      <c r="F30" s="19">
        <f>(C30 / _xlfn.XLOOKUP(B30,RecipeDB!B:B,RecipeDB!C:C)) * _xlfn.XLOOKUP(B30,RecipeDB!B:B,RecipeDB!F:F)
 * _xlfn.XLOOKUP(B30,RecipeDB!B:B,RecipeDB!F:F)</f>
        <v>16</v>
      </c>
      <c r="G30" s="19" t="b">
        <v>1</v>
      </c>
    </row>
    <row r="31" spans="1:7" x14ac:dyDescent="0.35">
      <c r="A31" s="86"/>
      <c r="B31" s="19" t="s">
        <v>87</v>
      </c>
      <c r="C31" s="19">
        <f>SUMIF(RecipeDB!$B$3:$B$43,B31,RecipeDB!$C$3:$C$43)</f>
        <v>80</v>
      </c>
      <c r="D31" s="19" t="str">
        <f>INDEX(RecipeDB!$D$3:$D$43,MATCH(B31,RecipeDB!$B$3:$B$43,0))</f>
        <v>g</v>
      </c>
      <c r="E31" s="19" t="str">
        <f>INDEX(RecipeDB!$E$3:$E$43,MATCH(B31,RecipeDB!$B$3:$B$43,0))</f>
        <v>Pantry</v>
      </c>
      <c r="F31" s="19">
        <f>(C31 / _xlfn.XLOOKUP(B31,RecipeDB!B:B,RecipeDB!C:C)) * _xlfn.XLOOKUP(B31,RecipeDB!B:B,RecipeDB!F:F)
 * _xlfn.XLOOKUP(B31,RecipeDB!B:B,RecipeDB!F:F)</f>
        <v>64</v>
      </c>
      <c r="G31" s="19" t="b">
        <v>1</v>
      </c>
    </row>
    <row r="32" spans="1:7" x14ac:dyDescent="0.35">
      <c r="A32" s="86"/>
      <c r="B32" s="19" t="s">
        <v>90</v>
      </c>
      <c r="C32" s="19">
        <f>SUMIF(RecipeDB!$B$3:$B$43,B32,RecipeDB!$C$3:$C$43)</f>
        <v>15</v>
      </c>
      <c r="D32" s="19" t="str">
        <f>INDEX(RecipeDB!$D$3:$D$43,MATCH(B32,RecipeDB!$B$3:$B$43,0))</f>
        <v>g</v>
      </c>
      <c r="E32" s="19" t="str">
        <f>INDEX(RecipeDB!$E$3:$E$43,MATCH(B32,RecipeDB!$B$3:$B$43,0))</f>
        <v>Pantry</v>
      </c>
      <c r="F32" s="19">
        <f>(C32 / _xlfn.XLOOKUP(B32,RecipeDB!B:B,RecipeDB!C:C)) * _xlfn.XLOOKUP(B32,RecipeDB!B:B,RecipeDB!F:F)
 * _xlfn.XLOOKUP(B32,RecipeDB!B:B,RecipeDB!F:F)</f>
        <v>100</v>
      </c>
      <c r="G32" s="19" t="b">
        <v>0</v>
      </c>
    </row>
    <row r="33" spans="1:7" x14ac:dyDescent="0.35">
      <c r="A33" s="86"/>
      <c r="B33" s="19" t="s">
        <v>93</v>
      </c>
      <c r="C33" s="19">
        <f>SUMIF(RecipeDB!$B$3:$B$43,B33,RecipeDB!$C$3:$C$43)</f>
        <v>1</v>
      </c>
      <c r="D33" s="19" t="str">
        <f>INDEX(RecipeDB!$D$3:$D$43,MATCH(B33,RecipeDB!$B$3:$B$43,0))</f>
        <v>tbsp</v>
      </c>
      <c r="E33" s="19" t="str">
        <f>INDEX(RecipeDB!$E$3:$E$43,MATCH(B33,RecipeDB!$B$3:$B$43,0))</f>
        <v>Pantry</v>
      </c>
      <c r="F33" s="19">
        <f>(C33 / _xlfn.XLOOKUP(B33,RecipeDB!B:B,RecipeDB!C:C)) * _xlfn.XLOOKUP(B33,RecipeDB!B:B,RecipeDB!F:F)
 * _xlfn.XLOOKUP(B33,RecipeDB!B:B,RecipeDB!F:F)</f>
        <v>81</v>
      </c>
      <c r="G33" s="19" t="b">
        <v>0</v>
      </c>
    </row>
    <row r="34" spans="1:7" x14ac:dyDescent="0.35">
      <c r="A34" s="86"/>
      <c r="B34" s="19" t="s">
        <v>64</v>
      </c>
      <c r="C34" s="19">
        <f>SUMIF(RecipeDB!$B$3:$B$43,B34,RecipeDB!$C$3:$C$43)</f>
        <v>1</v>
      </c>
      <c r="D34" s="19" t="str">
        <f>INDEX(RecipeDB!$D$3:$D$43,MATCH(B34,RecipeDB!$B$3:$B$43,0))</f>
        <v>tsp</v>
      </c>
      <c r="E34" s="19" t="str">
        <f>INDEX(RecipeDB!$E$3:$E$43,MATCH(B34,RecipeDB!$B$3:$B$43,0))</f>
        <v>Spices</v>
      </c>
      <c r="F34" s="19">
        <f>(C34 / _xlfn.XLOOKUP(B34,RecipeDB!B:B,RecipeDB!C:C)) * _xlfn.XLOOKUP(B34,RecipeDB!B:B,RecipeDB!F:F)
 * _xlfn.XLOOKUP(B34,RecipeDB!B:B,RecipeDB!F:F)</f>
        <v>9</v>
      </c>
      <c r="G34" s="19" t="b">
        <v>1</v>
      </c>
    </row>
    <row r="35" spans="1:7" x14ac:dyDescent="0.35">
      <c r="A35" s="86"/>
      <c r="B35" s="19" t="s">
        <v>67</v>
      </c>
      <c r="C35" s="19">
        <f>SUMIF(RecipeDB!$B$3:$B$43,B35,RecipeDB!$C$3:$C$43)</f>
        <v>0.5</v>
      </c>
      <c r="D35" s="19" t="str">
        <f>INDEX(RecipeDB!$D$3:$D$43,MATCH(B35,RecipeDB!$B$3:$B$43,0))</f>
        <v>tsp</v>
      </c>
      <c r="E35" s="19" t="str">
        <f>INDEX(RecipeDB!$E$3:$E$43,MATCH(B35,RecipeDB!$B$3:$B$43,0))</f>
        <v>Spices</v>
      </c>
      <c r="F35" s="19">
        <f>(C35 / _xlfn.XLOOKUP(B35,RecipeDB!B:B,RecipeDB!C:C)) * _xlfn.XLOOKUP(B35,RecipeDB!B:B,RecipeDB!F:F)
 * _xlfn.XLOOKUP(B35,RecipeDB!B:B,RecipeDB!F:F)</f>
        <v>4</v>
      </c>
      <c r="G35" s="19" t="b">
        <v>0</v>
      </c>
    </row>
    <row r="36" spans="1:7" x14ac:dyDescent="0.35">
      <c r="A36" s="81">
        <f>COUNTIF(G2:G35,TRUE)/COUNTA(B2:B35)</f>
        <v>0.6470588235294118</v>
      </c>
      <c r="B36" s="19"/>
      <c r="C36" s="19"/>
      <c r="D36" s="19"/>
      <c r="E36" s="19"/>
      <c r="F36" s="19">
        <f>SUM(F2:F35)</f>
        <v>8966.5</v>
      </c>
      <c r="G36" s="19"/>
    </row>
  </sheetData>
  <autoFilter ref="A1:G36" xr:uid="{C63B466E-941C-46A6-A953-DF6FFC140C2D}">
    <sortState xmlns:xlrd2="http://schemas.microsoft.com/office/spreadsheetml/2017/richdata2" ref="A2:G36">
      <sortCondition ref="E2:E36" customList="Vegetables,Fruit,Protein,Dairy &amp; Eggs,Pantry,Spices"/>
    </sortState>
  </autoFilter>
  <sortState xmlns:xlrd2="http://schemas.microsoft.com/office/spreadsheetml/2017/richdata2" ref="A2:G36">
    <sortCondition ref="E2:E36"/>
  </sortState>
  <conditionalFormatting sqref="A36">
    <cfRule type="dataBar" priority="1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{BE41A402-695B-4E86-AA84-500F2CD4E8F9}</x14:id>
        </ext>
      </extLst>
    </cfRule>
  </conditionalFormatting>
  <conditionalFormatting sqref="B2:B35">
    <cfRule type="expression" dxfId="2" priority="3">
      <formula>$F2&gt;50</formula>
    </cfRule>
  </conditionalFormatting>
  <conditionalFormatting sqref="B2:G35">
    <cfRule type="expression" dxfId="1" priority="4">
      <formula>$G2=TRUE</formula>
    </cfRule>
  </conditionalFormatting>
  <conditionalFormatting sqref="C1:C35">
    <cfRule type="expression" dxfId="0" priority="2">
      <formula>$C2=0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7" r:id="rId3" name="Check Box 113">
              <controlPr defaultSize="0" autoFill="0" autoLine="0" autoPict="0">
                <anchor moveWithCells="1">
                  <from>
                    <xdr:col>0</xdr:col>
                    <xdr:colOff>336550</xdr:colOff>
                    <xdr:row>14</xdr:row>
                    <xdr:rowOff>12700</xdr:rowOff>
                  </from>
                  <to>
                    <xdr:col>0</xdr:col>
                    <xdr:colOff>679450</xdr:colOff>
                    <xdr:row>14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" name="Check Box 114">
              <controlPr defaultSize="0" autoFill="0" autoLine="0" autoPict="0">
                <anchor moveWithCells="1">
                  <from>
                    <xdr:col>0</xdr:col>
                    <xdr:colOff>336550</xdr:colOff>
                    <xdr:row>15</xdr:row>
                    <xdr:rowOff>12700</xdr:rowOff>
                  </from>
                  <to>
                    <xdr:col>0</xdr:col>
                    <xdr:colOff>679450</xdr:colOff>
                    <xdr:row>15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5" name="Check Box 147">
              <controlPr defaultSize="0" autoFill="0" autoLine="0" autoPict="0">
                <anchor moveWithCells="1">
                  <from>
                    <xdr:col>0</xdr:col>
                    <xdr:colOff>336550</xdr:colOff>
                    <xdr:row>16</xdr:row>
                    <xdr:rowOff>12700</xdr:rowOff>
                  </from>
                  <to>
                    <xdr:col>0</xdr:col>
                    <xdr:colOff>679450</xdr:colOff>
                    <xdr:row>16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6" name="Check Box 148">
              <controlPr defaultSize="0" autoFill="0" autoLine="0" autoPict="0">
                <anchor moveWithCells="1">
                  <from>
                    <xdr:col>0</xdr:col>
                    <xdr:colOff>336550</xdr:colOff>
                    <xdr:row>17</xdr:row>
                    <xdr:rowOff>12700</xdr:rowOff>
                  </from>
                  <to>
                    <xdr:col>0</xdr:col>
                    <xdr:colOff>679450</xdr:colOff>
                    <xdr:row>17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7" name="Check Box 149">
              <controlPr defaultSize="0" autoFill="0" autoLine="0" autoPict="0">
                <anchor moveWithCells="1">
                  <from>
                    <xdr:col>0</xdr:col>
                    <xdr:colOff>336550</xdr:colOff>
                    <xdr:row>18</xdr:row>
                    <xdr:rowOff>12700</xdr:rowOff>
                  </from>
                  <to>
                    <xdr:col>0</xdr:col>
                    <xdr:colOff>679450</xdr:colOff>
                    <xdr:row>18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" name="Check Box 150">
              <controlPr defaultSize="0" autoFill="0" autoLine="0" autoPict="0">
                <anchor moveWithCells="1">
                  <from>
                    <xdr:col>0</xdr:col>
                    <xdr:colOff>336550</xdr:colOff>
                    <xdr:row>19</xdr:row>
                    <xdr:rowOff>12700</xdr:rowOff>
                  </from>
                  <to>
                    <xdr:col>0</xdr:col>
                    <xdr:colOff>679450</xdr:colOff>
                    <xdr:row>19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9" name="Check Box 151">
              <controlPr defaultSize="0" autoFill="0" autoLine="0" autoPict="0">
                <anchor moveWithCells="1">
                  <from>
                    <xdr:col>0</xdr:col>
                    <xdr:colOff>336550</xdr:colOff>
                    <xdr:row>11</xdr:row>
                    <xdr:rowOff>12700</xdr:rowOff>
                  </from>
                  <to>
                    <xdr:col>0</xdr:col>
                    <xdr:colOff>679450</xdr:colOff>
                    <xdr:row>11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0" name="Check Box 152">
              <controlPr defaultSize="0" autoFill="0" autoLine="0" autoPict="0">
                <anchor moveWithCells="1">
                  <from>
                    <xdr:col>0</xdr:col>
                    <xdr:colOff>336550</xdr:colOff>
                    <xdr:row>12</xdr:row>
                    <xdr:rowOff>12700</xdr:rowOff>
                  </from>
                  <to>
                    <xdr:col>0</xdr:col>
                    <xdr:colOff>679450</xdr:colOff>
                    <xdr:row>12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1" name="Check Box 153">
              <controlPr defaultSize="0" autoFill="0" autoLine="0" autoPict="0">
                <anchor moveWithCells="1">
                  <from>
                    <xdr:col>0</xdr:col>
                    <xdr:colOff>336550</xdr:colOff>
                    <xdr:row>20</xdr:row>
                    <xdr:rowOff>12700</xdr:rowOff>
                  </from>
                  <to>
                    <xdr:col>0</xdr:col>
                    <xdr:colOff>679450</xdr:colOff>
                    <xdr:row>20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2" name="Check Box 154">
              <controlPr defaultSize="0" autoFill="0" autoLine="0" autoPict="0">
                <anchor moveWithCells="1">
                  <from>
                    <xdr:col>0</xdr:col>
                    <xdr:colOff>336550</xdr:colOff>
                    <xdr:row>21</xdr:row>
                    <xdr:rowOff>12700</xdr:rowOff>
                  </from>
                  <to>
                    <xdr:col>0</xdr:col>
                    <xdr:colOff>679450</xdr:colOff>
                    <xdr:row>21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3" name="Check Box 155">
              <controlPr defaultSize="0" autoFill="0" autoLine="0" autoPict="0">
                <anchor moveWithCells="1">
                  <from>
                    <xdr:col>0</xdr:col>
                    <xdr:colOff>336550</xdr:colOff>
                    <xdr:row>22</xdr:row>
                    <xdr:rowOff>12700</xdr:rowOff>
                  </from>
                  <to>
                    <xdr:col>0</xdr:col>
                    <xdr:colOff>679450</xdr:colOff>
                    <xdr:row>22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4" name="Check Box 156">
              <controlPr defaultSize="0" autoFill="0" autoLine="0" autoPict="0">
                <anchor moveWithCells="1">
                  <from>
                    <xdr:col>0</xdr:col>
                    <xdr:colOff>336550</xdr:colOff>
                    <xdr:row>23</xdr:row>
                    <xdr:rowOff>12700</xdr:rowOff>
                  </from>
                  <to>
                    <xdr:col>0</xdr:col>
                    <xdr:colOff>679450</xdr:colOff>
                    <xdr:row>23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5" name="Check Box 157">
              <controlPr defaultSize="0" autoFill="0" autoLine="0" autoPict="0">
                <anchor moveWithCells="1">
                  <from>
                    <xdr:col>0</xdr:col>
                    <xdr:colOff>336550</xdr:colOff>
                    <xdr:row>24</xdr:row>
                    <xdr:rowOff>12700</xdr:rowOff>
                  </from>
                  <to>
                    <xdr:col>0</xdr:col>
                    <xdr:colOff>679450</xdr:colOff>
                    <xdr:row>24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6" name="Check Box 158">
              <controlPr defaultSize="0" autoFill="0" autoLine="0" autoPict="0">
                <anchor moveWithCells="1">
                  <from>
                    <xdr:col>0</xdr:col>
                    <xdr:colOff>336550</xdr:colOff>
                    <xdr:row>25</xdr:row>
                    <xdr:rowOff>12700</xdr:rowOff>
                  </from>
                  <to>
                    <xdr:col>0</xdr:col>
                    <xdr:colOff>679450</xdr:colOff>
                    <xdr:row>25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7" name="Check Box 159">
              <controlPr defaultSize="0" autoFill="0" autoLine="0" autoPict="0">
                <anchor moveWithCells="1">
                  <from>
                    <xdr:col>0</xdr:col>
                    <xdr:colOff>336550</xdr:colOff>
                    <xdr:row>26</xdr:row>
                    <xdr:rowOff>12700</xdr:rowOff>
                  </from>
                  <to>
                    <xdr:col>0</xdr:col>
                    <xdr:colOff>679450</xdr:colOff>
                    <xdr:row>26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8" name="Check Box 160">
              <controlPr defaultSize="0" autoFill="0" autoLine="0" autoPict="0">
                <anchor moveWithCells="1">
                  <from>
                    <xdr:col>0</xdr:col>
                    <xdr:colOff>336550</xdr:colOff>
                    <xdr:row>27</xdr:row>
                    <xdr:rowOff>12700</xdr:rowOff>
                  </from>
                  <to>
                    <xdr:col>0</xdr:col>
                    <xdr:colOff>679450</xdr:colOff>
                    <xdr:row>27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9" name="Check Box 161">
              <controlPr defaultSize="0" autoFill="0" autoLine="0" autoPict="0">
                <anchor moveWithCells="1">
                  <from>
                    <xdr:col>0</xdr:col>
                    <xdr:colOff>336550</xdr:colOff>
                    <xdr:row>28</xdr:row>
                    <xdr:rowOff>12700</xdr:rowOff>
                  </from>
                  <to>
                    <xdr:col>0</xdr:col>
                    <xdr:colOff>679450</xdr:colOff>
                    <xdr:row>28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20" name="Check Box 162">
              <controlPr defaultSize="0" autoFill="0" autoLine="0" autoPict="0">
                <anchor moveWithCells="1">
                  <from>
                    <xdr:col>0</xdr:col>
                    <xdr:colOff>336550</xdr:colOff>
                    <xdr:row>29</xdr:row>
                    <xdr:rowOff>12700</xdr:rowOff>
                  </from>
                  <to>
                    <xdr:col>0</xdr:col>
                    <xdr:colOff>679450</xdr:colOff>
                    <xdr:row>29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21" name="Check Box 163">
              <controlPr defaultSize="0" autoFill="0" autoLine="0" autoPict="0">
                <anchor moveWithCells="1">
                  <from>
                    <xdr:col>0</xdr:col>
                    <xdr:colOff>336550</xdr:colOff>
                    <xdr:row>30</xdr:row>
                    <xdr:rowOff>12700</xdr:rowOff>
                  </from>
                  <to>
                    <xdr:col>0</xdr:col>
                    <xdr:colOff>679450</xdr:colOff>
                    <xdr:row>30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22" name="Check Box 164">
              <controlPr defaultSize="0" autoFill="0" autoLine="0" autoPict="0">
                <anchor moveWithCells="1">
                  <from>
                    <xdr:col>0</xdr:col>
                    <xdr:colOff>336550</xdr:colOff>
                    <xdr:row>31</xdr:row>
                    <xdr:rowOff>12700</xdr:rowOff>
                  </from>
                  <to>
                    <xdr:col>0</xdr:col>
                    <xdr:colOff>679450</xdr:colOff>
                    <xdr:row>31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23" name="Check Box 165">
              <controlPr defaultSize="0" autoFill="0" autoLine="0" autoPict="0">
                <anchor moveWithCells="1">
                  <from>
                    <xdr:col>0</xdr:col>
                    <xdr:colOff>336550</xdr:colOff>
                    <xdr:row>32</xdr:row>
                    <xdr:rowOff>12700</xdr:rowOff>
                  </from>
                  <to>
                    <xdr:col>0</xdr:col>
                    <xdr:colOff>679450</xdr:colOff>
                    <xdr:row>32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24" name="Check Box 166">
              <controlPr defaultSize="0" autoFill="0" autoLine="0" autoPict="0">
                <anchor moveWithCells="1">
                  <from>
                    <xdr:col>0</xdr:col>
                    <xdr:colOff>336550</xdr:colOff>
                    <xdr:row>13</xdr:row>
                    <xdr:rowOff>12700</xdr:rowOff>
                  </from>
                  <to>
                    <xdr:col>0</xdr:col>
                    <xdr:colOff>679450</xdr:colOff>
                    <xdr:row>13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25" name="Check Box 167">
              <controlPr defaultSize="0" autoFill="0" autoLine="0" autoPict="0">
                <anchor moveWithCells="1">
                  <from>
                    <xdr:col>0</xdr:col>
                    <xdr:colOff>336550</xdr:colOff>
                    <xdr:row>33</xdr:row>
                    <xdr:rowOff>12700</xdr:rowOff>
                  </from>
                  <to>
                    <xdr:col>0</xdr:col>
                    <xdr:colOff>679450</xdr:colOff>
                    <xdr:row>33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26" name="Check Box 168">
              <controlPr defaultSize="0" autoFill="0" autoLine="0" autoPict="0">
                <anchor moveWithCells="1">
                  <from>
                    <xdr:col>0</xdr:col>
                    <xdr:colOff>336550</xdr:colOff>
                    <xdr:row>34</xdr:row>
                    <xdr:rowOff>12700</xdr:rowOff>
                  </from>
                  <to>
                    <xdr:col>0</xdr:col>
                    <xdr:colOff>679450</xdr:colOff>
                    <xdr:row>34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27" name="Check Box 177">
              <controlPr defaultSize="0" autoFill="0" autoLine="0" autoPict="0">
                <anchor moveWithCells="1">
                  <from>
                    <xdr:col>0</xdr:col>
                    <xdr:colOff>336550</xdr:colOff>
                    <xdr:row>9</xdr:row>
                    <xdr:rowOff>12700</xdr:rowOff>
                  </from>
                  <to>
                    <xdr:col>0</xdr:col>
                    <xdr:colOff>679450</xdr:colOff>
                    <xdr:row>9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28" name="Check Box 178">
              <controlPr defaultSize="0" autoFill="0" autoLine="0" autoPict="0">
                <anchor moveWithCells="1">
                  <from>
                    <xdr:col>0</xdr:col>
                    <xdr:colOff>336550</xdr:colOff>
                    <xdr:row>10</xdr:row>
                    <xdr:rowOff>12700</xdr:rowOff>
                  </from>
                  <to>
                    <xdr:col>0</xdr:col>
                    <xdr:colOff>679450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29" name="Check Box 186">
              <controlPr defaultSize="0" autoFill="0" autoLine="0" autoPict="0">
                <anchor moveWithCells="1">
                  <from>
                    <xdr:col>0</xdr:col>
                    <xdr:colOff>336550</xdr:colOff>
                    <xdr:row>9</xdr:row>
                    <xdr:rowOff>12700</xdr:rowOff>
                  </from>
                  <to>
                    <xdr:col>0</xdr:col>
                    <xdr:colOff>679450</xdr:colOff>
                    <xdr:row>9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30" name="Check Box 187">
              <controlPr defaultSize="0" autoFill="0" autoLine="0" autoPict="0">
                <anchor moveWithCells="1">
                  <from>
                    <xdr:col>0</xdr:col>
                    <xdr:colOff>336550</xdr:colOff>
                    <xdr:row>10</xdr:row>
                    <xdr:rowOff>12700</xdr:rowOff>
                  </from>
                  <to>
                    <xdr:col>0</xdr:col>
                    <xdr:colOff>679450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31" name="Check Box 188">
              <controlPr defaultSize="0" autoFill="0" autoLine="0" autoPict="0">
                <anchor moveWithCells="1">
                  <from>
                    <xdr:col>0</xdr:col>
                    <xdr:colOff>336550</xdr:colOff>
                    <xdr:row>11</xdr:row>
                    <xdr:rowOff>12700</xdr:rowOff>
                  </from>
                  <to>
                    <xdr:col>0</xdr:col>
                    <xdr:colOff>679450</xdr:colOff>
                    <xdr:row>11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32" name="Check Box 189">
              <controlPr defaultSize="0" autoFill="0" autoLine="0" autoPict="0">
                <anchor moveWithCells="1">
                  <from>
                    <xdr:col>0</xdr:col>
                    <xdr:colOff>336550</xdr:colOff>
                    <xdr:row>12</xdr:row>
                    <xdr:rowOff>12700</xdr:rowOff>
                  </from>
                  <to>
                    <xdr:col>0</xdr:col>
                    <xdr:colOff>679450</xdr:colOff>
                    <xdr:row>12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33" name="Check Box 190">
              <controlPr defaultSize="0" autoFill="0" autoLine="0" autoPict="0">
                <anchor moveWithCells="1">
                  <from>
                    <xdr:col>0</xdr:col>
                    <xdr:colOff>336550</xdr:colOff>
                    <xdr:row>13</xdr:row>
                    <xdr:rowOff>12700</xdr:rowOff>
                  </from>
                  <to>
                    <xdr:col>0</xdr:col>
                    <xdr:colOff>679450</xdr:colOff>
                    <xdr:row>13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34" name="Check Box 191">
              <controlPr defaultSize="0" autoFill="0" autoLine="0" autoPict="0">
                <anchor moveWithCells="1">
                  <from>
                    <xdr:col>0</xdr:col>
                    <xdr:colOff>336550</xdr:colOff>
                    <xdr:row>14</xdr:row>
                    <xdr:rowOff>12700</xdr:rowOff>
                  </from>
                  <to>
                    <xdr:col>0</xdr:col>
                    <xdr:colOff>679450</xdr:colOff>
                    <xdr:row>14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35" name="Check Box 192">
              <controlPr defaultSize="0" autoFill="0" autoLine="0" autoPict="0">
                <anchor moveWithCells="1">
                  <from>
                    <xdr:col>0</xdr:col>
                    <xdr:colOff>336550</xdr:colOff>
                    <xdr:row>15</xdr:row>
                    <xdr:rowOff>12700</xdr:rowOff>
                  </from>
                  <to>
                    <xdr:col>0</xdr:col>
                    <xdr:colOff>679450</xdr:colOff>
                    <xdr:row>15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36" name="Check Box 193">
              <controlPr defaultSize="0" autoFill="0" autoLine="0" autoPict="0">
                <anchor moveWithCells="1">
                  <from>
                    <xdr:col>0</xdr:col>
                    <xdr:colOff>336550</xdr:colOff>
                    <xdr:row>16</xdr:row>
                    <xdr:rowOff>12700</xdr:rowOff>
                  </from>
                  <to>
                    <xdr:col>0</xdr:col>
                    <xdr:colOff>679450</xdr:colOff>
                    <xdr:row>16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37" name="Check Box 194">
              <controlPr defaultSize="0" autoFill="0" autoLine="0" autoPict="0">
                <anchor moveWithCells="1">
                  <from>
                    <xdr:col>0</xdr:col>
                    <xdr:colOff>336550</xdr:colOff>
                    <xdr:row>17</xdr:row>
                    <xdr:rowOff>12700</xdr:rowOff>
                  </from>
                  <to>
                    <xdr:col>0</xdr:col>
                    <xdr:colOff>679450</xdr:colOff>
                    <xdr:row>17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38" name="Check Box 195">
              <controlPr defaultSize="0" autoFill="0" autoLine="0" autoPict="0">
                <anchor moveWithCells="1">
                  <from>
                    <xdr:col>0</xdr:col>
                    <xdr:colOff>336550</xdr:colOff>
                    <xdr:row>18</xdr:row>
                    <xdr:rowOff>12700</xdr:rowOff>
                  </from>
                  <to>
                    <xdr:col>0</xdr:col>
                    <xdr:colOff>679450</xdr:colOff>
                    <xdr:row>18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39" name="Check Box 196">
              <controlPr defaultSize="0" autoFill="0" autoLine="0" autoPict="0">
                <anchor moveWithCells="1">
                  <from>
                    <xdr:col>0</xdr:col>
                    <xdr:colOff>336550</xdr:colOff>
                    <xdr:row>19</xdr:row>
                    <xdr:rowOff>12700</xdr:rowOff>
                  </from>
                  <to>
                    <xdr:col>0</xdr:col>
                    <xdr:colOff>679450</xdr:colOff>
                    <xdr:row>19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40" name="Check Box 197">
              <controlPr defaultSize="0" autoFill="0" autoLine="0" autoPict="0">
                <anchor moveWithCells="1">
                  <from>
                    <xdr:col>0</xdr:col>
                    <xdr:colOff>336550</xdr:colOff>
                    <xdr:row>20</xdr:row>
                    <xdr:rowOff>12700</xdr:rowOff>
                  </from>
                  <to>
                    <xdr:col>0</xdr:col>
                    <xdr:colOff>679450</xdr:colOff>
                    <xdr:row>20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41" name="Check Box 198">
              <controlPr defaultSize="0" autoFill="0" autoLine="0" autoPict="0">
                <anchor moveWithCells="1">
                  <from>
                    <xdr:col>0</xdr:col>
                    <xdr:colOff>336550</xdr:colOff>
                    <xdr:row>21</xdr:row>
                    <xdr:rowOff>12700</xdr:rowOff>
                  </from>
                  <to>
                    <xdr:col>0</xdr:col>
                    <xdr:colOff>679450</xdr:colOff>
                    <xdr:row>21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42" name="Check Box 199">
              <controlPr defaultSize="0" autoFill="0" autoLine="0" autoPict="0">
                <anchor moveWithCells="1">
                  <from>
                    <xdr:col>0</xdr:col>
                    <xdr:colOff>336550</xdr:colOff>
                    <xdr:row>22</xdr:row>
                    <xdr:rowOff>12700</xdr:rowOff>
                  </from>
                  <to>
                    <xdr:col>0</xdr:col>
                    <xdr:colOff>679450</xdr:colOff>
                    <xdr:row>22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43" name="Check Box 200">
              <controlPr defaultSize="0" autoFill="0" autoLine="0" autoPict="0">
                <anchor moveWithCells="1">
                  <from>
                    <xdr:col>0</xdr:col>
                    <xdr:colOff>336550</xdr:colOff>
                    <xdr:row>23</xdr:row>
                    <xdr:rowOff>12700</xdr:rowOff>
                  </from>
                  <to>
                    <xdr:col>0</xdr:col>
                    <xdr:colOff>679450</xdr:colOff>
                    <xdr:row>23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44" name="Check Box 201">
              <controlPr defaultSize="0" autoFill="0" autoLine="0" autoPict="0">
                <anchor moveWithCells="1">
                  <from>
                    <xdr:col>0</xdr:col>
                    <xdr:colOff>336550</xdr:colOff>
                    <xdr:row>24</xdr:row>
                    <xdr:rowOff>12700</xdr:rowOff>
                  </from>
                  <to>
                    <xdr:col>0</xdr:col>
                    <xdr:colOff>679450</xdr:colOff>
                    <xdr:row>24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45" name="Check Box 202">
              <controlPr defaultSize="0" autoFill="0" autoLine="0" autoPict="0">
                <anchor moveWithCells="1">
                  <from>
                    <xdr:col>0</xdr:col>
                    <xdr:colOff>336550</xdr:colOff>
                    <xdr:row>25</xdr:row>
                    <xdr:rowOff>12700</xdr:rowOff>
                  </from>
                  <to>
                    <xdr:col>0</xdr:col>
                    <xdr:colOff>679450</xdr:colOff>
                    <xdr:row>25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46" name="Check Box 203">
              <controlPr defaultSize="0" autoFill="0" autoLine="0" autoPict="0">
                <anchor moveWithCells="1">
                  <from>
                    <xdr:col>0</xdr:col>
                    <xdr:colOff>336550</xdr:colOff>
                    <xdr:row>26</xdr:row>
                    <xdr:rowOff>12700</xdr:rowOff>
                  </from>
                  <to>
                    <xdr:col>0</xdr:col>
                    <xdr:colOff>679450</xdr:colOff>
                    <xdr:row>26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47" name="Check Box 204">
              <controlPr defaultSize="0" autoFill="0" autoLine="0" autoPict="0">
                <anchor moveWithCells="1">
                  <from>
                    <xdr:col>0</xdr:col>
                    <xdr:colOff>336550</xdr:colOff>
                    <xdr:row>27</xdr:row>
                    <xdr:rowOff>12700</xdr:rowOff>
                  </from>
                  <to>
                    <xdr:col>0</xdr:col>
                    <xdr:colOff>679450</xdr:colOff>
                    <xdr:row>27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48" name="Check Box 205">
              <controlPr defaultSize="0" autoFill="0" autoLine="0" autoPict="0">
                <anchor moveWithCells="1">
                  <from>
                    <xdr:col>0</xdr:col>
                    <xdr:colOff>336550</xdr:colOff>
                    <xdr:row>28</xdr:row>
                    <xdr:rowOff>12700</xdr:rowOff>
                  </from>
                  <to>
                    <xdr:col>0</xdr:col>
                    <xdr:colOff>679450</xdr:colOff>
                    <xdr:row>28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49" name="Check Box 206">
              <controlPr defaultSize="0" autoFill="0" autoLine="0" autoPict="0">
                <anchor moveWithCells="1">
                  <from>
                    <xdr:col>0</xdr:col>
                    <xdr:colOff>336550</xdr:colOff>
                    <xdr:row>29</xdr:row>
                    <xdr:rowOff>12700</xdr:rowOff>
                  </from>
                  <to>
                    <xdr:col>0</xdr:col>
                    <xdr:colOff>679450</xdr:colOff>
                    <xdr:row>29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50" name="Check Box 207">
              <controlPr defaultSize="0" autoFill="0" autoLine="0" autoPict="0">
                <anchor moveWithCells="1">
                  <from>
                    <xdr:col>0</xdr:col>
                    <xdr:colOff>336550</xdr:colOff>
                    <xdr:row>30</xdr:row>
                    <xdr:rowOff>12700</xdr:rowOff>
                  </from>
                  <to>
                    <xdr:col>0</xdr:col>
                    <xdr:colOff>679450</xdr:colOff>
                    <xdr:row>30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51" name="Check Box 208">
              <controlPr defaultSize="0" autoFill="0" autoLine="0" autoPict="0">
                <anchor moveWithCells="1">
                  <from>
                    <xdr:col>0</xdr:col>
                    <xdr:colOff>336550</xdr:colOff>
                    <xdr:row>31</xdr:row>
                    <xdr:rowOff>12700</xdr:rowOff>
                  </from>
                  <to>
                    <xdr:col>0</xdr:col>
                    <xdr:colOff>679450</xdr:colOff>
                    <xdr:row>31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52" name="Check Box 209">
              <controlPr defaultSize="0" autoFill="0" autoLine="0" autoPict="0">
                <anchor moveWithCells="1">
                  <from>
                    <xdr:col>0</xdr:col>
                    <xdr:colOff>336550</xdr:colOff>
                    <xdr:row>32</xdr:row>
                    <xdr:rowOff>12700</xdr:rowOff>
                  </from>
                  <to>
                    <xdr:col>0</xdr:col>
                    <xdr:colOff>679450</xdr:colOff>
                    <xdr:row>32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53" name="Check Box 210">
              <controlPr defaultSize="0" autoFill="0" autoLine="0" autoPict="0">
                <anchor moveWithCells="1">
                  <from>
                    <xdr:col>0</xdr:col>
                    <xdr:colOff>336550</xdr:colOff>
                    <xdr:row>33</xdr:row>
                    <xdr:rowOff>12700</xdr:rowOff>
                  </from>
                  <to>
                    <xdr:col>0</xdr:col>
                    <xdr:colOff>679450</xdr:colOff>
                    <xdr:row>33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54" name="Check Box 211">
              <controlPr defaultSize="0" autoFill="0" autoLine="0" autoPict="0">
                <anchor moveWithCells="1">
                  <from>
                    <xdr:col>0</xdr:col>
                    <xdr:colOff>336550</xdr:colOff>
                    <xdr:row>34</xdr:row>
                    <xdr:rowOff>12700</xdr:rowOff>
                  </from>
                  <to>
                    <xdr:col>0</xdr:col>
                    <xdr:colOff>679450</xdr:colOff>
                    <xdr:row>34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55" name="Check Box 223">
              <controlPr defaultSize="0" autoFill="0" autoLine="0" autoPict="0">
                <anchor moveWithCells="1">
                  <from>
                    <xdr:col>0</xdr:col>
                    <xdr:colOff>336550</xdr:colOff>
                    <xdr:row>7</xdr:row>
                    <xdr:rowOff>12700</xdr:rowOff>
                  </from>
                  <to>
                    <xdr:col>0</xdr:col>
                    <xdr:colOff>679450</xdr:colOff>
                    <xdr:row>7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56" name="Check Box 224">
              <controlPr defaultSize="0" autoFill="0" autoLine="0" autoPict="0">
                <anchor moveWithCells="1">
                  <from>
                    <xdr:col>0</xdr:col>
                    <xdr:colOff>336550</xdr:colOff>
                    <xdr:row>8</xdr:row>
                    <xdr:rowOff>12700</xdr:rowOff>
                  </from>
                  <to>
                    <xdr:col>0</xdr:col>
                    <xdr:colOff>679450</xdr:colOff>
                    <xdr:row>8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57" name="Check Box 225">
              <controlPr defaultSize="0" autoFill="0" autoLine="0" autoPict="0">
                <anchor moveWithCells="1">
                  <from>
                    <xdr:col>0</xdr:col>
                    <xdr:colOff>336550</xdr:colOff>
                    <xdr:row>9</xdr:row>
                    <xdr:rowOff>12700</xdr:rowOff>
                  </from>
                  <to>
                    <xdr:col>0</xdr:col>
                    <xdr:colOff>679450</xdr:colOff>
                    <xdr:row>9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58" name="Check Box 226">
              <controlPr defaultSize="0" autoFill="0" autoLine="0" autoPict="0">
                <anchor moveWithCells="1">
                  <from>
                    <xdr:col>0</xdr:col>
                    <xdr:colOff>336550</xdr:colOff>
                    <xdr:row>10</xdr:row>
                    <xdr:rowOff>12700</xdr:rowOff>
                  </from>
                  <to>
                    <xdr:col>0</xdr:col>
                    <xdr:colOff>679450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59" name="Check Box 227">
              <controlPr defaultSize="0" autoFill="0" autoLine="0" autoPict="0">
                <anchor moveWithCells="1">
                  <from>
                    <xdr:col>0</xdr:col>
                    <xdr:colOff>336550</xdr:colOff>
                    <xdr:row>11</xdr:row>
                    <xdr:rowOff>12700</xdr:rowOff>
                  </from>
                  <to>
                    <xdr:col>0</xdr:col>
                    <xdr:colOff>679450</xdr:colOff>
                    <xdr:row>11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60" name="Check Box 228">
              <controlPr defaultSize="0" autoFill="0" autoLine="0" autoPict="0">
                <anchor moveWithCells="1">
                  <from>
                    <xdr:col>0</xdr:col>
                    <xdr:colOff>336550</xdr:colOff>
                    <xdr:row>12</xdr:row>
                    <xdr:rowOff>12700</xdr:rowOff>
                  </from>
                  <to>
                    <xdr:col>0</xdr:col>
                    <xdr:colOff>679450</xdr:colOff>
                    <xdr:row>12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61" name="Check Box 229">
              <controlPr defaultSize="0" autoFill="0" autoLine="0" autoPict="0">
                <anchor moveWithCells="1">
                  <from>
                    <xdr:col>0</xdr:col>
                    <xdr:colOff>336550</xdr:colOff>
                    <xdr:row>13</xdr:row>
                    <xdr:rowOff>12700</xdr:rowOff>
                  </from>
                  <to>
                    <xdr:col>0</xdr:col>
                    <xdr:colOff>679450</xdr:colOff>
                    <xdr:row>13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62" name="Check Box 230">
              <controlPr defaultSize="0" autoFill="0" autoLine="0" autoPict="0">
                <anchor moveWithCells="1">
                  <from>
                    <xdr:col>0</xdr:col>
                    <xdr:colOff>336550</xdr:colOff>
                    <xdr:row>14</xdr:row>
                    <xdr:rowOff>12700</xdr:rowOff>
                  </from>
                  <to>
                    <xdr:col>0</xdr:col>
                    <xdr:colOff>679450</xdr:colOff>
                    <xdr:row>14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63" name="Check Box 231">
              <controlPr defaultSize="0" autoFill="0" autoLine="0" autoPict="0">
                <anchor moveWithCells="1">
                  <from>
                    <xdr:col>0</xdr:col>
                    <xdr:colOff>336550</xdr:colOff>
                    <xdr:row>15</xdr:row>
                    <xdr:rowOff>12700</xdr:rowOff>
                  </from>
                  <to>
                    <xdr:col>0</xdr:col>
                    <xdr:colOff>679450</xdr:colOff>
                    <xdr:row>15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64" name="Check Box 232">
              <controlPr defaultSize="0" autoFill="0" autoLine="0" autoPict="0">
                <anchor moveWithCells="1">
                  <from>
                    <xdr:col>0</xdr:col>
                    <xdr:colOff>336550</xdr:colOff>
                    <xdr:row>16</xdr:row>
                    <xdr:rowOff>12700</xdr:rowOff>
                  </from>
                  <to>
                    <xdr:col>0</xdr:col>
                    <xdr:colOff>679450</xdr:colOff>
                    <xdr:row>16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65" name="Check Box 233">
              <controlPr defaultSize="0" autoFill="0" autoLine="0" autoPict="0">
                <anchor moveWithCells="1">
                  <from>
                    <xdr:col>0</xdr:col>
                    <xdr:colOff>336550</xdr:colOff>
                    <xdr:row>17</xdr:row>
                    <xdr:rowOff>12700</xdr:rowOff>
                  </from>
                  <to>
                    <xdr:col>0</xdr:col>
                    <xdr:colOff>679450</xdr:colOff>
                    <xdr:row>17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66" name="Check Box 234">
              <controlPr defaultSize="0" autoFill="0" autoLine="0" autoPict="0">
                <anchor moveWithCells="1">
                  <from>
                    <xdr:col>0</xdr:col>
                    <xdr:colOff>336550</xdr:colOff>
                    <xdr:row>18</xdr:row>
                    <xdr:rowOff>12700</xdr:rowOff>
                  </from>
                  <to>
                    <xdr:col>0</xdr:col>
                    <xdr:colOff>679450</xdr:colOff>
                    <xdr:row>18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67" name="Check Box 235">
              <controlPr defaultSize="0" autoFill="0" autoLine="0" autoPict="0">
                <anchor moveWithCells="1">
                  <from>
                    <xdr:col>0</xdr:col>
                    <xdr:colOff>336550</xdr:colOff>
                    <xdr:row>19</xdr:row>
                    <xdr:rowOff>12700</xdr:rowOff>
                  </from>
                  <to>
                    <xdr:col>0</xdr:col>
                    <xdr:colOff>679450</xdr:colOff>
                    <xdr:row>19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68" name="Check Box 236">
              <controlPr defaultSize="0" autoFill="0" autoLine="0" autoPict="0">
                <anchor moveWithCells="1">
                  <from>
                    <xdr:col>0</xdr:col>
                    <xdr:colOff>336550</xdr:colOff>
                    <xdr:row>20</xdr:row>
                    <xdr:rowOff>12700</xdr:rowOff>
                  </from>
                  <to>
                    <xdr:col>0</xdr:col>
                    <xdr:colOff>679450</xdr:colOff>
                    <xdr:row>20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69" name="Check Box 237">
              <controlPr defaultSize="0" autoFill="0" autoLine="0" autoPict="0">
                <anchor moveWithCells="1">
                  <from>
                    <xdr:col>0</xdr:col>
                    <xdr:colOff>336550</xdr:colOff>
                    <xdr:row>21</xdr:row>
                    <xdr:rowOff>12700</xdr:rowOff>
                  </from>
                  <to>
                    <xdr:col>0</xdr:col>
                    <xdr:colOff>679450</xdr:colOff>
                    <xdr:row>21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70" name="Check Box 238">
              <controlPr defaultSize="0" autoFill="0" autoLine="0" autoPict="0">
                <anchor moveWithCells="1">
                  <from>
                    <xdr:col>0</xdr:col>
                    <xdr:colOff>336550</xdr:colOff>
                    <xdr:row>22</xdr:row>
                    <xdr:rowOff>12700</xdr:rowOff>
                  </from>
                  <to>
                    <xdr:col>0</xdr:col>
                    <xdr:colOff>679450</xdr:colOff>
                    <xdr:row>22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71" name="Check Box 239">
              <controlPr defaultSize="0" autoFill="0" autoLine="0" autoPict="0">
                <anchor moveWithCells="1">
                  <from>
                    <xdr:col>0</xdr:col>
                    <xdr:colOff>336550</xdr:colOff>
                    <xdr:row>23</xdr:row>
                    <xdr:rowOff>12700</xdr:rowOff>
                  </from>
                  <to>
                    <xdr:col>0</xdr:col>
                    <xdr:colOff>679450</xdr:colOff>
                    <xdr:row>23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72" name="Check Box 240">
              <controlPr defaultSize="0" autoFill="0" autoLine="0" autoPict="0">
                <anchor moveWithCells="1">
                  <from>
                    <xdr:col>0</xdr:col>
                    <xdr:colOff>336550</xdr:colOff>
                    <xdr:row>24</xdr:row>
                    <xdr:rowOff>12700</xdr:rowOff>
                  </from>
                  <to>
                    <xdr:col>0</xdr:col>
                    <xdr:colOff>679450</xdr:colOff>
                    <xdr:row>24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73" name="Check Box 241">
              <controlPr defaultSize="0" autoFill="0" autoLine="0" autoPict="0">
                <anchor moveWithCells="1">
                  <from>
                    <xdr:col>0</xdr:col>
                    <xdr:colOff>336550</xdr:colOff>
                    <xdr:row>25</xdr:row>
                    <xdr:rowOff>12700</xdr:rowOff>
                  </from>
                  <to>
                    <xdr:col>0</xdr:col>
                    <xdr:colOff>679450</xdr:colOff>
                    <xdr:row>25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74" name="Check Box 242">
              <controlPr defaultSize="0" autoFill="0" autoLine="0" autoPict="0">
                <anchor moveWithCells="1">
                  <from>
                    <xdr:col>0</xdr:col>
                    <xdr:colOff>336550</xdr:colOff>
                    <xdr:row>26</xdr:row>
                    <xdr:rowOff>12700</xdr:rowOff>
                  </from>
                  <to>
                    <xdr:col>0</xdr:col>
                    <xdr:colOff>679450</xdr:colOff>
                    <xdr:row>26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75" name="Check Box 243">
              <controlPr defaultSize="0" autoFill="0" autoLine="0" autoPict="0">
                <anchor moveWithCells="1">
                  <from>
                    <xdr:col>0</xdr:col>
                    <xdr:colOff>336550</xdr:colOff>
                    <xdr:row>27</xdr:row>
                    <xdr:rowOff>12700</xdr:rowOff>
                  </from>
                  <to>
                    <xdr:col>0</xdr:col>
                    <xdr:colOff>679450</xdr:colOff>
                    <xdr:row>27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76" name="Check Box 244">
              <controlPr defaultSize="0" autoFill="0" autoLine="0" autoPict="0">
                <anchor moveWithCells="1">
                  <from>
                    <xdr:col>0</xdr:col>
                    <xdr:colOff>336550</xdr:colOff>
                    <xdr:row>28</xdr:row>
                    <xdr:rowOff>12700</xdr:rowOff>
                  </from>
                  <to>
                    <xdr:col>0</xdr:col>
                    <xdr:colOff>679450</xdr:colOff>
                    <xdr:row>28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77" name="Check Box 245">
              <controlPr defaultSize="0" autoFill="0" autoLine="0" autoPict="0">
                <anchor moveWithCells="1">
                  <from>
                    <xdr:col>0</xdr:col>
                    <xdr:colOff>336550</xdr:colOff>
                    <xdr:row>29</xdr:row>
                    <xdr:rowOff>12700</xdr:rowOff>
                  </from>
                  <to>
                    <xdr:col>0</xdr:col>
                    <xdr:colOff>679450</xdr:colOff>
                    <xdr:row>29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78" name="Check Box 246">
              <controlPr defaultSize="0" autoFill="0" autoLine="0" autoPict="0">
                <anchor moveWithCells="1">
                  <from>
                    <xdr:col>0</xdr:col>
                    <xdr:colOff>336550</xdr:colOff>
                    <xdr:row>30</xdr:row>
                    <xdr:rowOff>12700</xdr:rowOff>
                  </from>
                  <to>
                    <xdr:col>0</xdr:col>
                    <xdr:colOff>679450</xdr:colOff>
                    <xdr:row>30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79" name="Check Box 247">
              <controlPr defaultSize="0" autoFill="0" autoLine="0" autoPict="0">
                <anchor moveWithCells="1">
                  <from>
                    <xdr:col>0</xdr:col>
                    <xdr:colOff>336550</xdr:colOff>
                    <xdr:row>31</xdr:row>
                    <xdr:rowOff>12700</xdr:rowOff>
                  </from>
                  <to>
                    <xdr:col>0</xdr:col>
                    <xdr:colOff>679450</xdr:colOff>
                    <xdr:row>31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80" name="Check Box 248">
              <controlPr defaultSize="0" autoFill="0" autoLine="0" autoPict="0">
                <anchor moveWithCells="1">
                  <from>
                    <xdr:col>0</xdr:col>
                    <xdr:colOff>336550</xdr:colOff>
                    <xdr:row>32</xdr:row>
                    <xdr:rowOff>12700</xdr:rowOff>
                  </from>
                  <to>
                    <xdr:col>0</xdr:col>
                    <xdr:colOff>679450</xdr:colOff>
                    <xdr:row>32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81" name="Check Box 249">
              <controlPr defaultSize="0" autoFill="0" autoLine="0" autoPict="0">
                <anchor moveWithCells="1">
                  <from>
                    <xdr:col>0</xdr:col>
                    <xdr:colOff>336550</xdr:colOff>
                    <xdr:row>33</xdr:row>
                    <xdr:rowOff>12700</xdr:rowOff>
                  </from>
                  <to>
                    <xdr:col>0</xdr:col>
                    <xdr:colOff>679450</xdr:colOff>
                    <xdr:row>33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82" name="Check Box 250">
              <controlPr defaultSize="0" autoFill="0" autoLine="0" autoPict="0">
                <anchor moveWithCells="1">
                  <from>
                    <xdr:col>0</xdr:col>
                    <xdr:colOff>336550</xdr:colOff>
                    <xdr:row>34</xdr:row>
                    <xdr:rowOff>12700</xdr:rowOff>
                  </from>
                  <to>
                    <xdr:col>0</xdr:col>
                    <xdr:colOff>679450</xdr:colOff>
                    <xdr:row>34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83" name="Check Box 170">
              <controlPr defaultSize="0" autoFill="0" autoLine="0" autoPict="0">
                <anchor moveWithCells="1">
                  <from>
                    <xdr:col>0</xdr:col>
                    <xdr:colOff>336550</xdr:colOff>
                    <xdr:row>2</xdr:row>
                    <xdr:rowOff>12700</xdr:rowOff>
                  </from>
                  <to>
                    <xdr:col>0</xdr:col>
                    <xdr:colOff>679450</xdr:colOff>
                    <xdr:row>2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84" name="Check Box 214">
              <controlPr defaultSize="0" autoFill="0" autoLine="0" autoPict="0">
                <anchor moveWithCells="1">
                  <from>
                    <xdr:col>0</xdr:col>
                    <xdr:colOff>336550</xdr:colOff>
                    <xdr:row>3</xdr:row>
                    <xdr:rowOff>12700</xdr:rowOff>
                  </from>
                  <to>
                    <xdr:col>0</xdr:col>
                    <xdr:colOff>679450</xdr:colOff>
                    <xdr:row>3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85" name="Check Box 218">
              <controlPr defaultSize="0" autoFill="0" autoLine="0" autoPict="0">
                <anchor moveWithCells="1">
                  <from>
                    <xdr:col>0</xdr:col>
                    <xdr:colOff>336550</xdr:colOff>
                    <xdr:row>4</xdr:row>
                    <xdr:rowOff>12700</xdr:rowOff>
                  </from>
                  <to>
                    <xdr:col>0</xdr:col>
                    <xdr:colOff>679450</xdr:colOff>
                    <xdr:row>4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86" name="Check Box 220">
              <controlPr defaultSize="0" autoFill="0" autoLine="0" autoPict="0">
                <anchor moveWithCells="1">
                  <from>
                    <xdr:col>0</xdr:col>
                    <xdr:colOff>336550</xdr:colOff>
                    <xdr:row>1</xdr:row>
                    <xdr:rowOff>12700</xdr:rowOff>
                  </from>
                  <to>
                    <xdr:col>0</xdr:col>
                    <xdr:colOff>679450</xdr:colOff>
                    <xdr:row>1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87" name="Check Box 221">
              <controlPr defaultSize="0" autoFill="0" autoLine="0" autoPict="0">
                <anchor moveWithCells="1">
                  <from>
                    <xdr:col>0</xdr:col>
                    <xdr:colOff>336550</xdr:colOff>
                    <xdr:row>5</xdr:row>
                    <xdr:rowOff>12700</xdr:rowOff>
                  </from>
                  <to>
                    <xdr:col>0</xdr:col>
                    <xdr:colOff>679450</xdr:colOff>
                    <xdr:row>5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88" name="Check Box 222">
              <controlPr defaultSize="0" autoFill="0" autoLine="0" autoPict="0">
                <anchor moveWithCells="1">
                  <from>
                    <xdr:col>0</xdr:col>
                    <xdr:colOff>336550</xdr:colOff>
                    <xdr:row>6</xdr:row>
                    <xdr:rowOff>12700</xdr:rowOff>
                  </from>
                  <to>
                    <xdr:col>0</xdr:col>
                    <xdr:colOff>679450</xdr:colOff>
                    <xdr:row>6</xdr:row>
                    <xdr:rowOff>158750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41A402-695B-4E86-AA84-500F2CD4E8F9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A36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0683-55C5-42D1-A7ED-AA2062187CCC}">
  <dimension ref="A1:J37"/>
  <sheetViews>
    <sheetView topLeftCell="A18" workbookViewId="0">
      <selection activeCell="E39" sqref="E39"/>
    </sheetView>
  </sheetViews>
  <sheetFormatPr defaultRowHeight="14.5" x14ac:dyDescent="0.35"/>
  <cols>
    <col min="1" max="1" width="23" bestFit="1" customWidth="1"/>
    <col min="2" max="2" width="10.6328125" bestFit="1" customWidth="1"/>
    <col min="3" max="3" width="27.453125" bestFit="1" customWidth="1"/>
    <col min="5" max="5" width="21.6328125" bestFit="1" customWidth="1"/>
    <col min="7" max="7" width="29.1796875" bestFit="1" customWidth="1"/>
    <col min="8" max="8" width="14.7265625" bestFit="1" customWidth="1"/>
    <col min="10" max="10" width="15.7265625" bestFit="1" customWidth="1"/>
    <col min="12" max="12" width="18.81640625" bestFit="1" customWidth="1"/>
    <col min="15" max="15" width="14.6328125" bestFit="1" customWidth="1"/>
    <col min="17" max="17" width="17.26953125" bestFit="1" customWidth="1"/>
    <col min="20" max="20" width="12.453125" bestFit="1" customWidth="1"/>
  </cols>
  <sheetData>
    <row r="1" spans="1:10" ht="19" x14ac:dyDescent="0.4">
      <c r="A1" s="42"/>
      <c r="B1" s="43"/>
      <c r="C1" s="44" t="s">
        <v>117</v>
      </c>
      <c r="D1" s="42"/>
      <c r="E1" s="42"/>
      <c r="F1" s="42"/>
      <c r="G1" s="42"/>
      <c r="J1" s="68"/>
    </row>
    <row r="2" spans="1:10" ht="15" thickBot="1" x14ac:dyDescent="0.4">
      <c r="A2" s="42"/>
      <c r="B2" s="42"/>
      <c r="C2" s="42"/>
      <c r="D2" s="42"/>
      <c r="E2" s="42"/>
      <c r="F2" s="42"/>
      <c r="G2" s="42"/>
    </row>
    <row r="3" spans="1:10" ht="21" x14ac:dyDescent="0.5">
      <c r="A3" s="59" t="s">
        <v>118</v>
      </c>
      <c r="B3" s="60"/>
      <c r="C3" s="57" t="s">
        <v>119</v>
      </c>
      <c r="D3" s="58"/>
      <c r="E3" s="61" t="s">
        <v>120</v>
      </c>
      <c r="F3" s="62"/>
      <c r="G3" s="56" t="s">
        <v>121</v>
      </c>
    </row>
    <row r="4" spans="1:10" x14ac:dyDescent="0.35">
      <c r="A4" s="65">
        <f>SUM(GroceryList!F2:F35)</f>
        <v>8966.5</v>
      </c>
      <c r="B4" s="45"/>
      <c r="C4" s="66" cm="1">
        <f t="array" ref="C4">SUMPRODUCT(SUMIF(RecipeDB!$A$3:$A$43,MealPlan!$B$2:$H$2,RecipeDB!$G$3:$G$43))+SUMPRODUCT(SUMIF(RecipeDB!$A$3:$A$43,MealPlan!$B$4:$H$4,RecipeDB!$G$3:$G$43))+SUMPRODUCT(SUMIF(RecipeDB!$A$3:$A$43,MealPlan!$B$7:$H$7,RecipeDB!$G$3:$G$43))</f>
        <v>8953</v>
      </c>
      <c r="D4" s="53"/>
      <c r="E4" s="67">
        <f>COUNTIF(GroceryList!G2:G35,FALSE)</f>
        <v>12</v>
      </c>
      <c r="F4" s="49"/>
      <c r="G4" s="51">
        <f>SUM(GroceryList!F2:F35)/7</f>
        <v>1280.9285714285713</v>
      </c>
    </row>
    <row r="5" spans="1:10" ht="15" thickBot="1" x14ac:dyDescent="0.4">
      <c r="A5" s="47"/>
      <c r="B5" s="48"/>
      <c r="C5" s="54"/>
      <c r="D5" s="55"/>
      <c r="E5" s="50"/>
      <c r="F5" s="50"/>
      <c r="G5" s="52"/>
    </row>
    <row r="6" spans="1:10" x14ac:dyDescent="0.35">
      <c r="A6" s="46"/>
    </row>
    <row r="7" spans="1:10" x14ac:dyDescent="0.35">
      <c r="A7" s="84" t="s">
        <v>4</v>
      </c>
      <c r="B7" s="85" t="s">
        <v>116</v>
      </c>
    </row>
    <row r="8" spans="1:10" x14ac:dyDescent="0.35">
      <c r="A8" s="19" t="s">
        <v>17</v>
      </c>
      <c r="B8" s="19">
        <f>SUMIF(GroceryList!E2:E35,Dashboard!A8,GroceryList!F2:F35)</f>
        <v>1426</v>
      </c>
    </row>
    <row r="9" spans="1:10" x14ac:dyDescent="0.35">
      <c r="A9" s="19" t="s">
        <v>75</v>
      </c>
      <c r="B9" s="19">
        <f>SUMIF(GroceryList!E3:E36,Dashboard!A9,GroceryList!F3:F36)</f>
        <v>412</v>
      </c>
    </row>
    <row r="10" spans="1:10" x14ac:dyDescent="0.35">
      <c r="A10" s="19" t="s">
        <v>32</v>
      </c>
      <c r="B10" s="19">
        <f>SUMIF(GroceryList!E4:E37,Dashboard!A10,GroceryList!F4:F37)</f>
        <v>4225</v>
      </c>
    </row>
    <row r="11" spans="1:10" x14ac:dyDescent="0.35">
      <c r="A11" s="19" t="s">
        <v>48</v>
      </c>
      <c r="B11" s="19">
        <f>SUMIF(GroceryList!E5:E38,Dashboard!A11,GroceryList!F5:F38)</f>
        <v>1472</v>
      </c>
    </row>
    <row r="12" spans="1:10" x14ac:dyDescent="0.35">
      <c r="A12" s="19" t="s">
        <v>11</v>
      </c>
      <c r="B12" s="19">
        <f>SUMIF(GroceryList!E6:E39,Dashboard!A12,GroceryList!F6:F39)</f>
        <v>1418.5</v>
      </c>
    </row>
    <row r="13" spans="1:10" x14ac:dyDescent="0.35">
      <c r="A13" s="19" t="s">
        <v>65</v>
      </c>
      <c r="B13" s="19">
        <f>SUMIF(GroceryList!E7:E40,Dashboard!A13,GroceryList!F7:F40)</f>
        <v>13</v>
      </c>
    </row>
    <row r="24" spans="1:8" ht="15" thickBot="1" x14ac:dyDescent="0.4"/>
    <row r="25" spans="1:8" x14ac:dyDescent="0.35">
      <c r="A25" s="71" t="s">
        <v>122</v>
      </c>
      <c r="B25" s="72" t="s">
        <v>97</v>
      </c>
      <c r="C25" s="72" t="s">
        <v>98</v>
      </c>
      <c r="D25" s="72" t="s">
        <v>99</v>
      </c>
      <c r="E25" s="72" t="s">
        <v>100</v>
      </c>
      <c r="F25" s="72" t="s">
        <v>101</v>
      </c>
      <c r="G25" s="72" t="s">
        <v>102</v>
      </c>
      <c r="H25" s="73" t="s">
        <v>103</v>
      </c>
    </row>
    <row r="26" spans="1:8" x14ac:dyDescent="0.35">
      <c r="A26" s="74" t="s">
        <v>113</v>
      </c>
      <c r="B26" s="69" t="str">
        <f>MealPlan!B2</f>
        <v>Veggie Omelette</v>
      </c>
      <c r="C26" s="69" t="str">
        <f>MealPlan!C2</f>
        <v>Dal Tadka</v>
      </c>
      <c r="D26" s="69" t="str">
        <f>MealPlan!D2</f>
        <v>Pasta Arrabbiata</v>
      </c>
      <c r="E26" s="69" t="str">
        <f>MealPlan!E2</f>
        <v>Banana Smoothie</v>
      </c>
      <c r="F26" s="69" t="str">
        <f>MealPlan!F2</f>
        <v>Veggie Omelette</v>
      </c>
      <c r="G26" s="69" t="str">
        <f>MealPlan!G2</f>
        <v>Overnight Oats</v>
      </c>
      <c r="H26" s="75" t="str">
        <f>MealPlan!H2</f>
        <v>Pasta Arrabbiata</v>
      </c>
    </row>
    <row r="27" spans="1:8" x14ac:dyDescent="0.35">
      <c r="A27" s="74" t="s">
        <v>107</v>
      </c>
      <c r="B27" s="70">
        <f>SUMIF(RecipeDB!$A$3:$A$43,B26,RecipeDB!$F$3:$F$43)</f>
        <v>54</v>
      </c>
      <c r="C27" s="70">
        <f>SUMIF(RecipeDB!$A$3:$A$43,C26,RecipeDB!$F$3:$F$43)</f>
        <v>59</v>
      </c>
      <c r="D27" s="70">
        <f>SUMIF(RecipeDB!$A$3:$A$43,D26,RecipeDB!$F$3:$F$43)</f>
        <v>54</v>
      </c>
      <c r="E27" s="70">
        <f>SUMIF(RecipeDB!$A$3:$A$43,E26,RecipeDB!$F$3:$F$43)</f>
        <v>61</v>
      </c>
      <c r="F27" s="70">
        <f>SUMIF(RecipeDB!$A$3:$A$43,F26,RecipeDB!$F$3:$F$43)</f>
        <v>54</v>
      </c>
      <c r="G27" s="70">
        <f>SUMIF(RecipeDB!$A$3:$A$43,G26,RecipeDB!$F$3:$F$43)</f>
        <v>59</v>
      </c>
      <c r="H27" s="76">
        <f>SUMIF(RecipeDB!$A$3:$A$43,H26,RecipeDB!$F$3:$F$43)</f>
        <v>54</v>
      </c>
    </row>
    <row r="28" spans="1:8" x14ac:dyDescent="0.35">
      <c r="A28" s="74" t="s">
        <v>114</v>
      </c>
      <c r="B28" s="69" t="str">
        <f>MealPlan!B4</f>
        <v>Dal Tadka</v>
      </c>
      <c r="C28" s="69" t="str">
        <f>MealPlan!C4</f>
        <v>Overnight Oats</v>
      </c>
      <c r="D28" s="69" t="str">
        <f>MealPlan!D4</f>
        <v>Chicken Stir Fry</v>
      </c>
      <c r="E28" s="69" t="str">
        <f>MealPlan!E4</f>
        <v>Dal Tadka</v>
      </c>
      <c r="F28" s="69" t="str">
        <f>MealPlan!F4</f>
        <v>Chicken Stir Fry</v>
      </c>
      <c r="G28" s="69" t="str">
        <f>MealPlan!G4</f>
        <v>Veggie Omelette</v>
      </c>
      <c r="H28" s="75" t="str">
        <f>MealPlan!H4</f>
        <v>Overnight Oats</v>
      </c>
    </row>
    <row r="29" spans="1:8" x14ac:dyDescent="0.35">
      <c r="A29" s="74" t="s">
        <v>105</v>
      </c>
      <c r="B29" s="70">
        <f>SUMIF(RecipeDB!$A$3:$A$43,B28,RecipeDB!$F$3:$F$43)</f>
        <v>59</v>
      </c>
      <c r="C29" s="70">
        <f>SUMIF(RecipeDB!$A$3:$A$43,C28,RecipeDB!$F$3:$F$43)</f>
        <v>59</v>
      </c>
      <c r="D29" s="70">
        <f>SUMIF(RecipeDB!$A$3:$A$43,D28,RecipeDB!$F$3:$F$43)</f>
        <v>144</v>
      </c>
      <c r="E29" s="70">
        <f>SUMIF(RecipeDB!$A$3:$A$43,E28,RecipeDB!$F$3:$F$43)</f>
        <v>59</v>
      </c>
      <c r="F29" s="70">
        <f>SUMIF(RecipeDB!$A$3:$A$43,F28,RecipeDB!$F$3:$F$43)</f>
        <v>144</v>
      </c>
      <c r="G29" s="70">
        <f>SUMIF(RecipeDB!$A$3:$A$43,G28,RecipeDB!$F$3:$F$43)</f>
        <v>54</v>
      </c>
      <c r="H29" s="76">
        <f>SUMIF(RecipeDB!$A$3:$A$43,H28,RecipeDB!$F$3:$F$43)</f>
        <v>59</v>
      </c>
    </row>
    <row r="30" spans="1:8" x14ac:dyDescent="0.35">
      <c r="A30" s="77" t="s">
        <v>104</v>
      </c>
      <c r="B30" s="69" t="str">
        <f>MealPlan!B6</f>
        <v>Banana Smoothie</v>
      </c>
      <c r="C30" s="69" t="str">
        <f>MealPlan!C6</f>
        <v>Veggie Omelette</v>
      </c>
      <c r="D30" s="69" t="str">
        <f>MealPlan!D6</f>
        <v>Banana Smoothie</v>
      </c>
      <c r="E30" s="69" t="str">
        <f>MealPlan!E6</f>
        <v>Overnight Oats</v>
      </c>
      <c r="F30" s="69" t="str">
        <f>MealPlan!F6</f>
        <v>Pasta Arrabbiata</v>
      </c>
      <c r="G30" s="69" t="str">
        <f>MealPlan!G6</f>
        <v>Banana Smoothie</v>
      </c>
      <c r="H30" s="75" t="str">
        <f>MealPlan!H6</f>
        <v>Chicken Stir Fry</v>
      </c>
    </row>
    <row r="31" spans="1:8" ht="15" thickBot="1" x14ac:dyDescent="0.4">
      <c r="A31" s="78" t="s">
        <v>106</v>
      </c>
      <c r="B31" s="79">
        <f>SUMIF(RecipeDB!$A$3:$A$43,B30,RecipeDB!$F$3:$F$43)</f>
        <v>61</v>
      </c>
      <c r="C31" s="79">
        <f>SUMIF(RecipeDB!$A$3:$A$43,C30,RecipeDB!$F$3:$F$43)</f>
        <v>54</v>
      </c>
      <c r="D31" s="79">
        <f>SUMIF(RecipeDB!$A$3:$A$43,D30,RecipeDB!$F$3:$F$43)</f>
        <v>61</v>
      </c>
      <c r="E31" s="79">
        <f>SUMIF(RecipeDB!$A$3:$A$43,E30,RecipeDB!$F$3:$F$43)</f>
        <v>59</v>
      </c>
      <c r="F31" s="79">
        <f>SUMIF(RecipeDB!$A$3:$A$43,F30,RecipeDB!$F$3:$F$43)</f>
        <v>54</v>
      </c>
      <c r="G31" s="79">
        <f>SUMIF(RecipeDB!$A$3:$A$43,G30,RecipeDB!$F$3:$F$43)</f>
        <v>61</v>
      </c>
      <c r="H31" s="80">
        <f>SUMIF(RecipeDB!$A$3:$A$43,H30,RecipeDB!$F$3:$F$43)</f>
        <v>144</v>
      </c>
    </row>
    <row r="34" spans="2:5" ht="23.5" x14ac:dyDescent="0.55000000000000004">
      <c r="B34" s="83" t="s">
        <v>123</v>
      </c>
      <c r="C34" s="83"/>
      <c r="D34" s="83"/>
      <c r="E34" s="83"/>
    </row>
    <row r="37" spans="2:5" x14ac:dyDescent="0.35">
      <c r="C37" s="82">
        <f>COUNTIF(GroceryList!$G$2:$G$35,TRUE)/COUNTA(GroceryList!$B$2:$B$35)</f>
        <v>0.6470588235294118</v>
      </c>
    </row>
  </sheetData>
  <phoneticPr fontId="6" type="noConversion"/>
  <conditionalFormatting sqref="C37">
    <cfRule type="dataBar" priority="1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{138D1405-7E84-4DCA-966F-2109003FD505}</x14:id>
        </ext>
      </extLst>
    </cfRule>
  </conditionalFormatting>
  <dataValidations count="1">
    <dataValidation type="list" allowBlank="1" showInputMessage="1" showErrorMessage="1" sqref="B26:H26 B28:H28 B30:H30" xr:uid="{DBA8CBC1-B733-4718-9B6C-7C88F7960330}">
      <formula1>"Pasta Arrabbiata,Chicken Stir Fry,Veggie Omelette,Dal Tadka,Banana Smoothie,Overnight Oats"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8D1405-7E84-4DCA-966F-2109003FD505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C37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RecipeDB</vt:lpstr>
      <vt:lpstr>MealPlan</vt:lpstr>
      <vt:lpstr>GroceryList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Chandrika Kodumuri</dc:creator>
  <cp:lastModifiedBy>Sharath Chandrika Kodumuri</cp:lastModifiedBy>
  <dcterms:created xsi:type="dcterms:W3CDTF">2026-03-06T08:35:47Z</dcterms:created>
  <dcterms:modified xsi:type="dcterms:W3CDTF">2026-03-18T09:12:38Z</dcterms:modified>
</cp:coreProperties>
</file>